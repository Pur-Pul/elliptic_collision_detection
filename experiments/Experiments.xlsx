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working\waccache\GVX0EPF0006C94B\EXCELCNV\2c4c36ce-168c-4392-a4b0-1251836c9377\"/>
    </mc:Choice>
  </mc:AlternateContent>
  <xr:revisionPtr revIDLastSave="0" documentId="8_{4B79C03C-AC86-46DD-9264-2C86754A533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equence-1-simulation-1" sheetId="1" r:id="rId1"/>
    <sheet name="sequence-2-simulation-1" sheetId="2" r:id="rId2"/>
    <sheet name="sequence-3-simulation-1" sheetId="3" r:id="rId3"/>
    <sheet name="simulation-1-summary" sheetId="4" r:id="rId4"/>
    <sheet name="sequence-1-simulation-2" sheetId="5" r:id="rId5"/>
    <sheet name="sequence-2-simulation-2" sheetId="6" r:id="rId6"/>
    <sheet name="sequence-3-simulation-2" sheetId="7" r:id="rId7"/>
    <sheet name="simulation-2-summar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8" l="1"/>
  <c r="K61" i="8"/>
  <c r="J61" i="8"/>
  <c r="I61" i="8"/>
  <c r="H61" i="8"/>
  <c r="G61" i="8"/>
  <c r="L60" i="8"/>
  <c r="K60" i="8"/>
  <c r="J60" i="8"/>
  <c r="I60" i="8"/>
  <c r="H60" i="8"/>
  <c r="G60" i="8"/>
  <c r="L59" i="8"/>
  <c r="K59" i="8"/>
  <c r="J59" i="8"/>
  <c r="I59" i="8"/>
  <c r="H59" i="8"/>
  <c r="G59" i="8"/>
  <c r="H53" i="8" a="1"/>
  <c r="H53" i="8"/>
  <c r="Q29" i="7"/>
  <c r="P29" i="7"/>
  <c r="O29" i="7"/>
  <c r="Q28" i="7"/>
  <c r="P28" i="7"/>
  <c r="O28" i="7"/>
  <c r="Q27" i="7"/>
  <c r="P27" i="7"/>
  <c r="O27" i="7"/>
  <c r="Q26" i="7"/>
  <c r="P26" i="7"/>
  <c r="O26" i="7"/>
  <c r="Q25" i="7"/>
  <c r="P25" i="7"/>
  <c r="O25" i="7"/>
  <c r="U22" i="7"/>
  <c r="G22" i="7" a="1"/>
  <c r="G22" i="7"/>
  <c r="U21" i="7"/>
  <c r="G21" i="7" a="1"/>
  <c r="G21" i="7"/>
  <c r="U20" i="7"/>
  <c r="G20" i="7" a="1"/>
  <c r="G20" i="7"/>
  <c r="D20" i="7" a="1"/>
  <c r="D20" i="7"/>
  <c r="C20" i="7" a="1"/>
  <c r="C20" i="7"/>
  <c r="B20" i="7" a="1"/>
  <c r="B20" i="7"/>
  <c r="Q29" i="6"/>
  <c r="P29" i="6"/>
  <c r="O29" i="6"/>
  <c r="Q28" i="6"/>
  <c r="P28" i="6"/>
  <c r="O28" i="6"/>
  <c r="Q27" i="6"/>
  <c r="P27" i="6"/>
  <c r="O27" i="6"/>
  <c r="Q26" i="6"/>
  <c r="P26" i="6"/>
  <c r="O26" i="6"/>
  <c r="Q25" i="6"/>
  <c r="P25" i="6"/>
  <c r="O25" i="6"/>
  <c r="U22" i="6"/>
  <c r="G22" i="6" a="1"/>
  <c r="G22" i="6"/>
  <c r="U21" i="6"/>
  <c r="G21" i="6" a="1"/>
  <c r="G21" i="6"/>
  <c r="U20" i="6"/>
  <c r="G20" i="6" a="1"/>
  <c r="G20" i="6"/>
  <c r="D20" i="6" a="1"/>
  <c r="D20" i="6"/>
  <c r="C20" i="6" a="1"/>
  <c r="C20" i="6"/>
  <c r="B20" i="6" a="1"/>
  <c r="B20" i="6"/>
  <c r="Q29" i="5"/>
  <c r="P29" i="5"/>
  <c r="O29" i="5"/>
  <c r="Q28" i="5"/>
  <c r="P28" i="5"/>
  <c r="O28" i="5"/>
  <c r="Q27" i="5"/>
  <c r="P27" i="5"/>
  <c r="O27" i="5"/>
  <c r="Q26" i="5"/>
  <c r="P26" i="5"/>
  <c r="O26" i="5"/>
  <c r="Q25" i="5"/>
  <c r="P25" i="5"/>
  <c r="O25" i="5"/>
  <c r="U22" i="5"/>
  <c r="G22" i="5" a="1"/>
  <c r="G22" i="5"/>
  <c r="U21" i="5"/>
  <c r="G21" i="5" a="1"/>
  <c r="G21" i="5"/>
  <c r="U20" i="5"/>
  <c r="G20" i="5" a="1"/>
  <c r="G20" i="5"/>
  <c r="D20" i="5" a="1"/>
  <c r="D20" i="5"/>
  <c r="C20" i="5" a="1"/>
  <c r="C20" i="5"/>
  <c r="B20" i="5" a="1"/>
  <c r="B20" i="5"/>
  <c r="Q29" i="3"/>
  <c r="P29" i="3"/>
  <c r="O29" i="3"/>
  <c r="Q28" i="3"/>
  <c r="P28" i="3"/>
  <c r="O28" i="3"/>
  <c r="I28" i="3"/>
  <c r="H28" i="3"/>
  <c r="G28" i="3"/>
  <c r="Q27" i="3"/>
  <c r="P27" i="3"/>
  <c r="O27" i="3"/>
  <c r="I27" i="3"/>
  <c r="H27" i="3"/>
  <c r="G27" i="3"/>
  <c r="Q26" i="3"/>
  <c r="P26" i="3"/>
  <c r="O26" i="3"/>
  <c r="I26" i="3"/>
  <c r="H26" i="3"/>
  <c r="G26" i="3"/>
  <c r="U25" i="3" a="1"/>
  <c r="S25" i="3" a="1"/>
  <c r="Q25" i="3"/>
  <c r="P25" i="3"/>
  <c r="O25" i="3"/>
  <c r="S25" i="3" s="1"/>
  <c r="I25" i="3"/>
  <c r="I29" i="3" s="1"/>
  <c r="M25" i="3" s="1" a="1"/>
  <c r="H25" i="3"/>
  <c r="H29" i="3" s="1"/>
  <c r="L25" i="3" s="1" a="1"/>
  <c r="G25" i="3"/>
  <c r="G29" i="3" s="1"/>
  <c r="K25" i="3" s="1" a="1"/>
  <c r="G22" i="3" a="1"/>
  <c r="G22" i="3"/>
  <c r="G21" i="3" a="1"/>
  <c r="G21" i="3"/>
  <c r="G20" i="3" a="1"/>
  <c r="G20" i="3"/>
  <c r="D20" i="3" a="1"/>
  <c r="D20" i="3"/>
  <c r="C20" i="3" a="1"/>
  <c r="C20" i="3"/>
  <c r="B20" i="3" a="1"/>
  <c r="B20" i="3"/>
  <c r="Q29" i="2"/>
  <c r="P29" i="2"/>
  <c r="O29" i="2"/>
  <c r="Q28" i="2"/>
  <c r="P28" i="2"/>
  <c r="O28" i="2"/>
  <c r="G28" i="2"/>
  <c r="Q27" i="2"/>
  <c r="P27" i="2"/>
  <c r="O27" i="2"/>
  <c r="G27" i="2"/>
  <c r="Q26" i="2"/>
  <c r="P26" i="2"/>
  <c r="O26" i="2"/>
  <c r="G26" i="2"/>
  <c r="U25" i="2" a="1"/>
  <c r="S25" i="2" a="1"/>
  <c r="Q25" i="2"/>
  <c r="P25" i="2"/>
  <c r="O25" i="2"/>
  <c r="S25" i="2" s="1"/>
  <c r="G25" i="2"/>
  <c r="G29" i="2" s="1"/>
  <c r="G22" i="2" a="1"/>
  <c r="G22" i="2"/>
  <c r="G21" i="2" a="1"/>
  <c r="G21" i="2"/>
  <c r="G20" i="2" a="1"/>
  <c r="G20" i="2"/>
  <c r="D20" i="2" a="1"/>
  <c r="D20" i="2"/>
  <c r="C20" i="2" a="1"/>
  <c r="C20" i="2"/>
  <c r="B20" i="2" a="1"/>
  <c r="B20" i="2"/>
  <c r="Q29" i="1"/>
  <c r="P29" i="1"/>
  <c r="O29" i="1"/>
  <c r="Q28" i="1"/>
  <c r="P28" i="1"/>
  <c r="O28" i="1"/>
  <c r="G28" i="1"/>
  <c r="Q27" i="1"/>
  <c r="P27" i="1"/>
  <c r="O27" i="1"/>
  <c r="G27" i="1"/>
  <c r="Q26" i="1"/>
  <c r="P26" i="1"/>
  <c r="O26" i="1"/>
  <c r="G26" i="1"/>
  <c r="U25" i="1" a="1"/>
  <c r="S25" i="1" a="1"/>
  <c r="Q25" i="1"/>
  <c r="P25" i="1"/>
  <c r="O25" i="1"/>
  <c r="S25" i="1" s="1"/>
  <c r="G25" i="1"/>
  <c r="G29" i="1" s="1"/>
  <c r="G22" i="1" a="1"/>
  <c r="G22" i="1"/>
  <c r="G21" i="1" a="1"/>
  <c r="G21" i="1"/>
  <c r="G20" i="1" a="1"/>
  <c r="G20" i="1"/>
  <c r="D20" i="1" a="1"/>
  <c r="D20" i="1"/>
  <c r="C20" i="1" a="1"/>
  <c r="C20" i="1"/>
  <c r="B20" i="1" a="1"/>
  <c r="B20" i="1"/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U25" i="1"/>
  <c r="S29" i="1"/>
  <c r="S28" i="1"/>
  <c r="S27" i="1"/>
  <c r="S26" i="1"/>
  <c r="U29" i="1"/>
  <c r="U28" i="1"/>
  <c r="U27" i="1"/>
  <c r="U26" i="1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U25" i="2"/>
  <c r="S29" i="2"/>
  <c r="S28" i="2"/>
  <c r="S27" i="2"/>
  <c r="S26" i="2"/>
  <c r="U29" i="2"/>
  <c r="U28" i="2"/>
  <c r="U27" i="2"/>
  <c r="U26" i="2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K29" i="3"/>
  <c r="K28" i="3"/>
  <c r="K27" i="3"/>
  <c r="K26" i="3"/>
  <c r="K25" i="3"/>
  <c r="L29" i="3"/>
  <c r="L28" i="3"/>
  <c r="L27" i="3"/>
  <c r="L26" i="3"/>
  <c r="L25" i="3"/>
  <c r="M29" i="3"/>
  <c r="M28" i="3"/>
  <c r="M27" i="3"/>
  <c r="M26" i="3"/>
  <c r="M25" i="3"/>
  <c r="U25" i="3"/>
  <c r="S29" i="3"/>
  <c r="S28" i="3"/>
  <c r="S27" i="3"/>
  <c r="S26" i="3"/>
  <c r="U29" i="3"/>
  <c r="U28" i="3"/>
  <c r="U27" i="3"/>
  <c r="U26" i="3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T25" i="5"/>
  <c r="U25" i="5"/>
  <c r="T26" i="5"/>
  <c r="U26" i="5"/>
  <c r="T27" i="5"/>
  <c r="U27" i="5"/>
  <c r="T28" i="5"/>
  <c r="U28" i="5"/>
  <c r="T29" i="5"/>
  <c r="U29" i="5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T25" i="6"/>
  <c r="U25" i="6"/>
  <c r="T26" i="6"/>
  <c r="U26" i="6"/>
  <c r="T27" i="6"/>
  <c r="U27" i="6"/>
  <c r="T28" i="6"/>
  <c r="U28" i="6"/>
  <c r="T29" i="6"/>
  <c r="U29" i="6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T25" i="7"/>
  <c r="U25" i="7"/>
  <c r="T26" i="7"/>
  <c r="U26" i="7"/>
  <c r="T27" i="7"/>
  <c r="U27" i="7"/>
  <c r="T28" i="7"/>
  <c r="U28" i="7"/>
  <c r="T29" i="7"/>
  <c r="U29" i="7"/>
  <c r="H55" i="8"/>
  <c r="H54" i="8"/>
</calcChain>
</file>

<file path=xl/sharedStrings.xml><?xml version="1.0" encoding="utf-8"?>
<sst xmlns="http://schemas.openxmlformats.org/spreadsheetml/2006/main" count="1349" uniqueCount="133">
  <si>
    <t>Class</t>
  </si>
  <si>
    <t>Method</t>
  </si>
  <si>
    <t>Runtime</t>
  </si>
  <si>
    <t>Calls</t>
  </si>
  <si>
    <t>Average</t>
  </si>
  <si>
    <t>BBoxSphere</t>
  </si>
  <si>
    <t>CheckOBB</t>
  </si>
  <si>
    <t>SBC</t>
  </si>
  <si>
    <t>CheckSOBR</t>
  </si>
  <si>
    <t>SBCA1</t>
  </si>
  <si>
    <t>CheckSOBRA1</t>
  </si>
  <si>
    <t>CheckSphere</t>
  </si>
  <si>
    <t>CheckSBC</t>
  </si>
  <si>
    <t>CheckSBCA1</t>
  </si>
  <si>
    <t>Reorient</t>
  </si>
  <si>
    <t>Reposition</t>
  </si>
  <si>
    <t>Resize</t>
  </si>
  <si>
    <t>UpdateSimpleSize</t>
  </si>
  <si>
    <t>OBBox</t>
  </si>
  <si>
    <t>SOBR</t>
  </si>
  <si>
    <t>SOBRA1</t>
  </si>
  <si>
    <t>AABB</t>
  </si>
  <si>
    <t>Intersects</t>
  </si>
  <si>
    <t>Octree`1</t>
  </si>
  <si>
    <t>Contains</t>
  </si>
  <si>
    <t>Sum</t>
  </si>
  <si>
    <t/>
  </si>
  <si>
    <t>Total time elapsed (μs)</t>
  </si>
  <si>
    <t>Euclidean</t>
  </si>
  <si>
    <t>Baseline</t>
  </si>
  <si>
    <t>Artifact</t>
  </si>
  <si>
    <t>SBC.CheckSOBR</t>
  </si>
  <si>
    <t>SBC.CheckSBC</t>
  </si>
  <si>
    <t>SBC.Reorient</t>
  </si>
  <si>
    <t>SBC.Reposition</t>
  </si>
  <si>
    <t>SBC.Resize</t>
  </si>
  <si>
    <t>SBC.UpdateSimpleSize</t>
  </si>
  <si>
    <t>SOBR.CheckSOBR</t>
  </si>
  <si>
    <t>SOBR.CheckSBC</t>
  </si>
  <si>
    <t>SOBR.Reorient</t>
  </si>
  <si>
    <t>SOBR.Reposition</t>
  </si>
  <si>
    <t>SOBR.Resize</t>
  </si>
  <si>
    <t>SOBR.UpdateSimpleSize</t>
  </si>
  <si>
    <t>Simple.Intersects</t>
  </si>
  <si>
    <t>CollisionTree.Contains</t>
  </si>
  <si>
    <t>Function</t>
  </si>
  <si>
    <t>Sequence 1 calls</t>
  </si>
  <si>
    <t>Runtimes</t>
  </si>
  <si>
    <t>Update phase</t>
  </si>
  <si>
    <t>Narrow phase</t>
  </si>
  <si>
    <t>Broad phase</t>
  </si>
  <si>
    <t>Combined</t>
  </si>
  <si>
    <t>Entire simulation</t>
  </si>
  <si>
    <t>Total time elapsed</t>
  </si>
  <si>
    <t>Sequence 2 calls</t>
  </si>
  <si>
    <t>Sequence 3 calls</t>
  </si>
  <si>
    <t>Sequence 1 %</t>
  </si>
  <si>
    <t>Sequence 2 %</t>
  </si>
  <si>
    <t>Sequence 3 %</t>
  </si>
  <si>
    <t>Sequence 1</t>
  </si>
  <si>
    <t>Sequence 2</t>
  </si>
  <si>
    <t>Sequence 3</t>
  </si>
  <si>
    <t>Phases</t>
  </si>
  <si>
    <t>Update phase    -</t>
  </si>
  <si>
    <t>Artifact 1</t>
  </si>
  <si>
    <t>SBC.CheckSOBR      -</t>
  </si>
  <si>
    <t>SBC.CheckSBC      -</t>
  </si>
  <si>
    <t>Narrow phase    -</t>
  </si>
  <si>
    <t>SBC.Reorient      -</t>
  </si>
  <si>
    <t>Broad phase    -</t>
  </si>
  <si>
    <t>SBC.Reposition      -</t>
  </si>
  <si>
    <t>SBC.Resize      -</t>
  </si>
  <si>
    <t>Entire simulation    -</t>
  </si>
  <si>
    <t>SBC.UpdateSimpleSize      -</t>
  </si>
  <si>
    <t>SOBR.CheckSOBR      -</t>
  </si>
  <si>
    <t>SOBR.CheckSBC      -</t>
  </si>
  <si>
    <t>SOBR.Reorient      -</t>
  </si>
  <si>
    <t>SOBR.Reposition      -</t>
  </si>
  <si>
    <t>SOBR.Resize      -</t>
  </si>
  <si>
    <t>SOBR.UpdateSimpleSize      -</t>
  </si>
  <si>
    <t>Simple.Intersects      -</t>
  </si>
  <si>
    <t>CollisionTree.Contains      -</t>
  </si>
  <si>
    <t>Artifact F1</t>
  </si>
  <si>
    <t>Euclidean F1</t>
  </si>
  <si>
    <t>Type</t>
  </si>
  <si>
    <t>Euclidean s1</t>
  </si>
  <si>
    <t>SBC-SBC</t>
  </si>
  <si>
    <t>Precision</t>
  </si>
  <si>
    <t>Recall</t>
  </si>
  <si>
    <t>F1</t>
  </si>
  <si>
    <t>SBC-SOBR</t>
  </si>
  <si>
    <t>rectangle-rectangle</t>
  </si>
  <si>
    <t>SOBR-SOBR</t>
  </si>
  <si>
    <t>circle-rectangle</t>
  </si>
  <si>
    <t>all</t>
  </si>
  <si>
    <t>circle-circle</t>
  </si>
  <si>
    <t>Sequence</t>
  </si>
  <si>
    <t>Artifact s1</t>
  </si>
  <si>
    <t>Euclidean s2</t>
  </si>
  <si>
    <t>Artifact s2</t>
  </si>
  <si>
    <t>Euclidean s3</t>
  </si>
  <si>
    <t>Artifact s3</t>
  </si>
  <si>
    <t>SBCA2</t>
  </si>
  <si>
    <t>CheckSOBRA2</t>
  </si>
  <si>
    <t>CheckSBCA2</t>
  </si>
  <si>
    <t>SOBRA2</t>
  </si>
  <si>
    <t>SAABB</t>
  </si>
  <si>
    <t>SOctree`1</t>
  </si>
  <si>
    <t>Total time elapsed (μs):</t>
  </si>
  <si>
    <t>Artifact 2</t>
  </si>
  <si>
    <t>Narrow phase Calls</t>
  </si>
  <si>
    <t>Implementation</t>
  </si>
  <si>
    <t xml:space="preserve">SBC.CheckSOBR </t>
  </si>
  <si>
    <t>Sequence 1 Baseline</t>
  </si>
  <si>
    <t>Sequence 1 Artifact 1</t>
  </si>
  <si>
    <t>Sequence 1 Artifact 2</t>
  </si>
  <si>
    <t>Sequence 2 Baseline</t>
  </si>
  <si>
    <t>Sequence 2 Artifact 1</t>
  </si>
  <si>
    <t>Sequence 2 Artifact 2</t>
  </si>
  <si>
    <t>Sequence 3 Baseline</t>
  </si>
  <si>
    <t>Sequence 3 Artifact 1</t>
  </si>
  <si>
    <t>Sequence 3 Artifact 2</t>
  </si>
  <si>
    <t>Broad Phase Calls</t>
  </si>
  <si>
    <t>Sequence 1 Simple.Intersects</t>
  </si>
  <si>
    <t>Sequence 2 Simple.Intersects</t>
  </si>
  <si>
    <t>Sequence 3 Simple.Intersects</t>
  </si>
  <si>
    <t>Sequence 1 CollisionTree.Contains</t>
  </si>
  <si>
    <t>Sequence 2 CollisionTree.Contains</t>
  </si>
  <si>
    <t>Sequence 3 CollisionTree.Contains</t>
  </si>
  <si>
    <t>Total Calls</t>
  </si>
  <si>
    <t>Weights</t>
  </si>
  <si>
    <t>Seqeunce 3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</si>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</sst>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\ &quot;µs&quot;"/>
    <numFmt numFmtId="165" formatCode="0.00000\ &quot;s&quot;"/>
    <numFmt numFmtId="166" formatCode="0.0\ &quot;µs&quot;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4" borderId="0" xfId="0" applyNumberFormat="1" applyFont="1" applyFill="1"/>
    <xf numFmtId="165" fontId="1" fillId="2" borderId="0" xfId="0" applyNumberFormat="1" applyFont="1" applyFill="1"/>
    <xf numFmtId="165" fontId="1" fillId="3" borderId="0" xfId="0" applyNumberFormat="1" applyFont="1" applyFill="1"/>
    <xf numFmtId="165" fontId="1" fillId="4" borderId="0" xfId="0" applyNumberFormat="1" applyFont="1" applyFill="1"/>
    <xf numFmtId="10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165" fontId="1" fillId="0" borderId="0" xfId="0" applyNumberFormat="1" applyFont="1"/>
    <xf numFmtId="166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 for Sequence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'sequence-1-simulation-1'!$B$19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'sequence-1-simulation-1'!$A$20:$A$33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'sequence-1-simulation-1'!$B$20:$B$33</c:f>
              <c:numCache>
                <c:formatCode>0.00000\ "µs"</c:formatCode>
                <c:ptCount val="14"/>
                <c:pt idx="0">
                  <c:v>0.13170050794225199</c:v>
                </c:pt>
                <c:pt idx="1">
                  <c:v>5.0290716313110398E-2</c:v>
                </c:pt>
                <c:pt idx="2">
                  <c:v>0.194254188802615</c:v>
                </c:pt>
                <c:pt idx="3">
                  <c:v>7.1025745811197402E-2</c:v>
                </c:pt>
                <c:pt idx="4">
                  <c:v>3.6176329489525802E-2</c:v>
                </c:pt>
                <c:pt idx="5">
                  <c:v>2.9279152822444501E-2</c:v>
                </c:pt>
                <c:pt idx="6">
                  <c:v>1.7629313919132901</c:v>
                </c:pt>
                <c:pt idx="7">
                  <c:v>0.131699545913467</c:v>
                </c:pt>
                <c:pt idx="8">
                  <c:v>0.20127496873324999</c:v>
                </c:pt>
                <c:pt idx="9">
                  <c:v>8.1140432374486302E-2</c:v>
                </c:pt>
                <c:pt idx="10">
                  <c:v>4.08206181883152E-2</c:v>
                </c:pt>
                <c:pt idx="11">
                  <c:v>0.167189923173128</c:v>
                </c:pt>
                <c:pt idx="12">
                  <c:v>5.6121003609853698E-2</c:v>
                </c:pt>
                <c:pt idx="13">
                  <c:v>5.4333640104067903E-2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7-4B8A-BA30-FD5880A8C20F}"/>
            </c:ext>
          </c:extLst>
        </c:ser>
        <c:ser>
          <c:idx val="1"/>
          <c:order val="1"/>
          <c:tx>
            <c:strRef>
              <c:f>'sequence-1-simulation-1'!$C$19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'sequence-1-simulation-1'!$A$20:$A$33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'sequence-1-simulation-1'!$C$20:$C$33</c:f>
              <c:numCache>
                <c:formatCode>0.00000\ "µs"</c:formatCode>
                <c:ptCount val="14"/>
                <c:pt idx="0">
                  <c:v>1.00350742803228</c:v>
                </c:pt>
                <c:pt idx="1">
                  <c:v>0.11322795714058601</c:v>
                </c:pt>
                <c:pt idx="2">
                  <c:v>0.191154919066825</c:v>
                </c:pt>
                <c:pt idx="3">
                  <c:v>6.3990867255379294E-2</c:v>
                </c:pt>
                <c:pt idx="4">
                  <c:v>3.8399815212949301E-2</c:v>
                </c:pt>
                <c:pt idx="5">
                  <c:v>2.7813827046427701E-2</c:v>
                </c:pt>
                <c:pt idx="6">
                  <c:v>0.72986054205231199</c:v>
                </c:pt>
                <c:pt idx="7">
                  <c:v>1.0697312346454599</c:v>
                </c:pt>
                <c:pt idx="8">
                  <c:v>0.47260603894943698</c:v>
                </c:pt>
                <c:pt idx="9">
                  <c:v>8.5024477398606399E-2</c:v>
                </c:pt>
                <c:pt idx="10">
                  <c:v>4.7807754154011103E-2</c:v>
                </c:pt>
                <c:pt idx="11">
                  <c:v>0.16151384670359101</c:v>
                </c:pt>
                <c:pt idx="12">
                  <c:v>5.5145734095144998E-2</c:v>
                </c:pt>
                <c:pt idx="13">
                  <c:v>5.3300771142006799E-2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7-4B8A-BA30-FD5880A8C20F}"/>
            </c:ext>
          </c:extLst>
        </c:ser>
        <c:ser>
          <c:idx val="2"/>
          <c:order val="2"/>
          <c:tx>
            <c:strRef>
              <c:f>'sequence-1-simulation-1'!$D$19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'sequence-1-simulation-1'!$A$20:$A$33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'sequence-1-simulation-1'!$D$20:$D$33</c:f>
              <c:numCache>
                <c:formatCode>0.00000\ "µs"</c:formatCode>
                <c:ptCount val="14"/>
                <c:pt idx="0">
                  <c:v>0.23667230893081001</c:v>
                </c:pt>
                <c:pt idx="1">
                  <c:v>4.49146017572256E-2</c:v>
                </c:pt>
                <c:pt idx="2">
                  <c:v>0.198074128036105</c:v>
                </c:pt>
                <c:pt idx="3">
                  <c:v>6.6393454274089006E-2</c:v>
                </c:pt>
                <c:pt idx="4">
                  <c:v>3.9953803237327001E-2</c:v>
                </c:pt>
                <c:pt idx="5">
                  <c:v>2.85613262024484E-2</c:v>
                </c:pt>
                <c:pt idx="6">
                  <c:v>0.61645549370725305</c:v>
                </c:pt>
                <c:pt idx="7">
                  <c:v>0.25339326213838498</c:v>
                </c:pt>
                <c:pt idx="8">
                  <c:v>0.74440718241915305</c:v>
                </c:pt>
                <c:pt idx="9">
                  <c:v>8.2231731284616805E-2</c:v>
                </c:pt>
                <c:pt idx="10">
                  <c:v>4.9329819546185497E-2</c:v>
                </c:pt>
                <c:pt idx="11">
                  <c:v>0.16824888333035601</c:v>
                </c:pt>
                <c:pt idx="12">
                  <c:v>5.6672242718788998E-2</c:v>
                </c:pt>
                <c:pt idx="13">
                  <c:v>5.4942907858716902E-2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7-4B8A-BA30-FD5880A8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239187"/>
        <c:axId val="1794266358"/>
      </c:barChart>
      <c:catAx>
        <c:axId val="1055239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4266358"/>
        <c:crosses val="autoZero"/>
        <c:auto val="1"/>
        <c:lblAlgn val="ctr"/>
        <c:lblOffset val="100"/>
        <c:noMultiLvlLbl val="1"/>
      </c:catAx>
      <c:valAx>
        <c:axId val="1794266358"/>
        <c:scaling>
          <c:orientation val="minMax"/>
          <c:max val="1.8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&quot; μs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52391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Method Runtime Breakdown for Sequence 1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'sequence-1-simulation-1'!$G$19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'sequence-1-simulation-1'!$G$20:$G$22</c:f>
              <c:numCache>
                <c:formatCode>0.00000\ "s"</c:formatCode>
                <c:ptCount val="3"/>
                <c:pt idx="0">
                  <c:v>0.57062880000000005</c:v>
                </c:pt>
                <c:pt idx="1">
                  <c:v>4.3479729000000003</c:v>
                </c:pt>
                <c:pt idx="2">
                  <c:v>1.0254481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7-4276-B8CC-D7EEE65B18BE}"/>
            </c:ext>
          </c:extLst>
        </c:ser>
        <c:ser>
          <c:idx val="1"/>
          <c:order val="1"/>
          <c:tx>
            <c:strRef>
              <c:f>'sequence-1-simulation-1'!$H$19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'sequence-1-simulation-1'!$H$20:$H$22</c:f>
              <c:numCache>
                <c:formatCode>0.00000\ "s"</c:formatCode>
                <c:ptCount val="3"/>
                <c:pt idx="0">
                  <c:v>0.19295189999999998</c:v>
                </c:pt>
                <c:pt idx="1">
                  <c:v>0.43442509999999995</c:v>
                </c:pt>
                <c:pt idx="2">
                  <c:v>0.17232520000000001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D7-4276-B8CC-D7EEE65B18BE}"/>
            </c:ext>
          </c:extLst>
        </c:ser>
        <c:ser>
          <c:idx val="2"/>
          <c:order val="2"/>
          <c:tx>
            <c:strRef>
              <c:f>'sequence-1-simulation-1'!$M$19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'sequence-1-simulation-1'!$M$20:$M$22</c:f>
              <c:numCache>
                <c:formatCode>0.00000\ "s"</c:formatCode>
                <c:ptCount val="3"/>
                <c:pt idx="0">
                  <c:v>3.2399682000000003</c:v>
                </c:pt>
                <c:pt idx="1">
                  <c:v>1.3413596000000001</c:v>
                </c:pt>
                <c:pt idx="2">
                  <c:v>1.1329403999999998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7-4276-B8CC-D7EEE65B18BE}"/>
            </c:ext>
          </c:extLst>
        </c:ser>
        <c:ser>
          <c:idx val="3"/>
          <c:order val="3"/>
          <c:tx>
            <c:strRef>
              <c:f>'sequence-1-simulation-1'!$N$19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'sequence-1-simulation-1'!$N$20:$N$22</c:f>
              <c:numCache>
                <c:formatCode>0.00000\ "s"</c:formatCode>
                <c:ptCount val="3"/>
                <c:pt idx="0">
                  <c:v>0.26793140000000004</c:v>
                </c:pt>
                <c:pt idx="1">
                  <c:v>2.1762762000000002</c:v>
                </c:pt>
                <c:pt idx="2">
                  <c:v>0.51550680000000004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D7-4276-B8CC-D7EEE65B18BE}"/>
            </c:ext>
          </c:extLst>
        </c:ser>
        <c:ser>
          <c:idx val="4"/>
          <c:order val="4"/>
          <c:tx>
            <c:strRef>
              <c:f>'sequence-1-simulation-1'!$I$19</c:f>
              <c:strCache>
                <c:ptCount val="1"/>
                <c:pt idx="0">
                  <c:v>SBC.Reorient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'sequence-1-simulation-1'!$I$20:$I$22</c:f>
              <c:numCache>
                <c:formatCode>0.00000\ "s"</c:formatCode>
                <c:ptCount val="3"/>
                <c:pt idx="0">
                  <c:v>0.1093282</c:v>
                </c:pt>
                <c:pt idx="1">
                  <c:v>0.1075839</c:v>
                </c:pt>
                <c:pt idx="2">
                  <c:v>0.11147810000000001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D7-4276-B8CC-D7EEE65B18BE}"/>
            </c:ext>
          </c:extLst>
        </c:ser>
        <c:ser>
          <c:idx val="5"/>
          <c:order val="5"/>
          <c:tx>
            <c:strRef>
              <c:f>'sequence-1-simulation-1'!$J$19</c:f>
              <c:strCache>
                <c:ptCount val="1"/>
                <c:pt idx="0">
                  <c:v>SBC.Reposition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'sequence-1-simulation-1'!$J$20:$J$22</c:f>
              <c:numCache>
                <c:formatCode>0.00000\ "s"</c:formatCode>
                <c:ptCount val="3"/>
                <c:pt idx="0">
                  <c:v>3.9974000000000003E-2</c:v>
                </c:pt>
                <c:pt idx="1">
                  <c:v>3.6014699999999997E-2</c:v>
                </c:pt>
                <c:pt idx="2">
                  <c:v>3.7366900000000002E-2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D7-4276-B8CC-D7EEE65B18BE}"/>
            </c:ext>
          </c:extLst>
        </c:ser>
        <c:ser>
          <c:idx val="6"/>
          <c:order val="6"/>
          <c:tx>
            <c:strRef>
              <c:f>'sequence-1-simulation-1'!$K$19</c:f>
              <c:strCache>
                <c:ptCount val="1"/>
                <c:pt idx="0">
                  <c:v>SBC.Resize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'sequence-1-simulation-1'!$K$20:$K$22</c:f>
              <c:numCache>
                <c:formatCode>0.00000\ "s"</c:formatCode>
                <c:ptCount val="3"/>
                <c:pt idx="0">
                  <c:v>2.0360400000000001E-2</c:v>
                </c:pt>
                <c:pt idx="1">
                  <c:v>2.16118E-2</c:v>
                </c:pt>
                <c:pt idx="2">
                  <c:v>2.24864E-2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D7-4276-B8CC-D7EEE65B18BE}"/>
            </c:ext>
          </c:extLst>
        </c:ser>
        <c:ser>
          <c:idx val="7"/>
          <c:order val="7"/>
          <c:tx>
            <c:strRef>
              <c:f>'sequence-1-simulation-1'!$L$19</c:f>
              <c:strCache>
                <c:ptCount val="1"/>
                <c:pt idx="0">
                  <c:v>SBC.UpdateSimpleSize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'sequence-1-simulation-1'!$L$20:$L$22</c:f>
              <c:numCache>
                <c:formatCode>0.00000\ "s"</c:formatCode>
                <c:ptCount val="3"/>
                <c:pt idx="0">
                  <c:v>1.6478599999999999E-2</c:v>
                </c:pt>
                <c:pt idx="1">
                  <c:v>1.5653899999999998E-2</c:v>
                </c:pt>
                <c:pt idx="2">
                  <c:v>1.6074600000000001E-2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D7-4276-B8CC-D7EEE65B18BE}"/>
            </c:ext>
          </c:extLst>
        </c:ser>
        <c:ser>
          <c:idx val="8"/>
          <c:order val="8"/>
          <c:tx>
            <c:strRef>
              <c:f>'sequence-1-simulation-1'!$O$19</c:f>
              <c:strCache>
                <c:ptCount val="1"/>
                <c:pt idx="0">
                  <c:v>SOBR.Reorient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'sequence-1-simulation-1'!$O$20:$O$22</c:f>
              <c:numCache>
                <c:formatCode>0.00000\ "s"</c:formatCode>
                <c:ptCount val="3"/>
                <c:pt idx="0">
                  <c:v>0.11265360000000001</c:v>
                </c:pt>
                <c:pt idx="1">
                  <c:v>0.26451759999999996</c:v>
                </c:pt>
                <c:pt idx="2">
                  <c:v>0.41664470000000003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D7-4276-B8CC-D7EEE65B18BE}"/>
            </c:ext>
          </c:extLst>
        </c:ser>
        <c:ser>
          <c:idx val="9"/>
          <c:order val="9"/>
          <c:tx>
            <c:strRef>
              <c:f>'sequence-1-simulation-1'!$P$19</c:f>
              <c:strCache>
                <c:ptCount val="1"/>
                <c:pt idx="0">
                  <c:v>SOBR.Reposition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'sequence-1-simulation-1'!$P$20:$P$22</c:f>
              <c:numCache>
                <c:formatCode>0.00000\ "s"</c:formatCode>
                <c:ptCount val="3"/>
                <c:pt idx="0">
                  <c:v>4.5414300000000005E-2</c:v>
                </c:pt>
                <c:pt idx="1">
                  <c:v>4.7588199999999997E-2</c:v>
                </c:pt>
                <c:pt idx="2">
                  <c:v>4.6025099999999999E-2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D7-4276-B8CC-D7EEE65B18BE}"/>
            </c:ext>
          </c:extLst>
        </c:ser>
        <c:ser>
          <c:idx val="10"/>
          <c:order val="10"/>
          <c:tx>
            <c:strRef>
              <c:f>'sequence-1-simulation-1'!$Q$19</c:f>
              <c:strCache>
                <c:ptCount val="1"/>
                <c:pt idx="0">
                  <c:v>SOBR.Resize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'sequence-1-simulation-1'!$Q$20:$Q$22</c:f>
              <c:numCache>
                <c:formatCode>0.00000\ "s"</c:formatCode>
                <c:ptCount val="3"/>
                <c:pt idx="0">
                  <c:v>2.2847300000000001E-2</c:v>
                </c:pt>
                <c:pt idx="1">
                  <c:v>2.6758000000000001E-2</c:v>
                </c:pt>
                <c:pt idx="2">
                  <c:v>2.76099E-2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D7-4276-B8CC-D7EEE65B18BE}"/>
            </c:ext>
          </c:extLst>
        </c:ser>
        <c:ser>
          <c:idx val="11"/>
          <c:order val="11"/>
          <c:tx>
            <c:strRef>
              <c:f>'sequence-1-simulation-1'!$R$19</c:f>
              <c:strCache>
                <c:ptCount val="1"/>
                <c:pt idx="0">
                  <c:v>SOBR.UpdateSimpleSize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'sequence-1-simulation-1'!$F$20:$F$22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'sequence-1-simulation-1'!$R$20:$R$22</c:f>
              <c:numCache>
                <c:formatCode>0.00000\ "s"</c:formatCode>
                <c:ptCount val="3"/>
                <c:pt idx="0">
                  <c:v>9.3576199999999998E-2</c:v>
                </c:pt>
                <c:pt idx="1">
                  <c:v>9.0399300000000002E-2</c:v>
                </c:pt>
                <c:pt idx="2">
                  <c:v>9.41689E-2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D7-4276-B8CC-D7EEE65B1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517510"/>
        <c:axId val="1631275909"/>
      </c:barChart>
      <c:catAx>
        <c:axId val="10185175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1275909"/>
        <c:crosses val="autoZero"/>
        <c:auto val="1"/>
        <c:lblAlgn val="ctr"/>
        <c:lblOffset val="100"/>
        <c:noMultiLvlLbl val="1"/>
      </c:catAx>
      <c:valAx>
        <c:axId val="1631275909"/>
        <c:scaling>
          <c:orientation val="minMax"/>
          <c:max val="9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Runtime (s)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8517510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Runtime Comparison of the Implementations in Sequence 1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'sequence-1-simulation-1'!$S$24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'sequence-1-simulation-1'!$S$25:$S$29</c:f>
              <c:numCache>
                <c:formatCode>0.00%</c:formatCode>
                <c:ptCount val="5"/>
                <c:pt idx="0">
                  <c:v>0.75497773088046871</c:v>
                </c:pt>
                <c:pt idx="1">
                  <c:v>0.5146340849840878</c:v>
                </c:pt>
                <c:pt idx="2">
                  <c:v>1.0178199116702051</c:v>
                </c:pt>
                <c:pt idx="3">
                  <c:v>0.72149337845311268</c:v>
                </c:pt>
                <c:pt idx="4">
                  <c:v>1.001265765967952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7-4DB7-A1FB-D8AA621B6B3E}"/>
            </c:ext>
          </c:extLst>
        </c:ser>
        <c:ser>
          <c:idx val="1"/>
          <c:order val="1"/>
          <c:tx>
            <c:strRef>
              <c:f>'sequence-1-simulation-1'!$T$24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'sequence-1-simulation-1'!$T$25:$T$29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7-4DB7-A1FB-D8AA621B6B3E}"/>
            </c:ext>
          </c:extLst>
        </c:ser>
        <c:ser>
          <c:idx val="2"/>
          <c:order val="2"/>
          <c:tx>
            <c:strRef>
              <c:f>'sequence-1-simulation-1'!$U$24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'sequence-1-simulation-1'!$U$25:$U$29</c:f>
              <c:numCache>
                <c:formatCode>0.00%</c:formatCode>
                <c:ptCount val="5"/>
                <c:pt idx="0">
                  <c:v>1.2650711966058239</c:v>
                </c:pt>
                <c:pt idx="1">
                  <c:v>0.34291673607401457</c:v>
                </c:pt>
                <c:pt idx="2">
                  <c:v>1.027930031344239</c:v>
                </c:pt>
                <c:pt idx="3">
                  <c:v>0.64932838872096088</c:v>
                </c:pt>
                <c:pt idx="4">
                  <c:v>1.0006104403249696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A7-4DB7-A1FB-D8AA621B6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6480403"/>
        <c:axId val="202226565"/>
      </c:barChart>
      <c:catAx>
        <c:axId val="20764804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26565"/>
        <c:crosses val="autoZero"/>
        <c:auto val="1"/>
        <c:lblAlgn val="ctr"/>
        <c:lblOffset val="100"/>
        <c:noMultiLvlLbl val="1"/>
      </c:catAx>
      <c:valAx>
        <c:axId val="202226565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648040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 for Sequence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'sequence-2-simulation-1'!$B$19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'sequence-2-simulation-1'!$A$20:$A$33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'sequence-2-simulation-1'!$B$20:$B$33</c:f>
              <c:numCache>
                <c:formatCode>0.00000\ "µs"</c:formatCode>
                <c:ptCount val="14"/>
                <c:pt idx="0">
                  <c:v>0.11799534089739799</c:v>
                </c:pt>
                <c:pt idx="1">
                  <c:v>4.52796643174357E-2</c:v>
                </c:pt>
                <c:pt idx="2">
                  <c:v>0.17514092149777399</c:v>
                </c:pt>
                <c:pt idx="3">
                  <c:v>5.5862599174783201E-2</c:v>
                </c:pt>
                <c:pt idx="4">
                  <c:v>3.2541626320252197E-2</c:v>
                </c:pt>
                <c:pt idx="5">
                  <c:v>2.5112198863821999E-2</c:v>
                </c:pt>
                <c:pt idx="6">
                  <c:v>1.6406739903217</c:v>
                </c:pt>
                <c:pt idx="7">
                  <c:v>0.117493793368109</c:v>
                </c:pt>
                <c:pt idx="8">
                  <c:v>0.17465876616269499</c:v>
                </c:pt>
                <c:pt idx="9">
                  <c:v>5.6398004242117702E-2</c:v>
                </c:pt>
                <c:pt idx="10">
                  <c:v>3.2980925566684999E-2</c:v>
                </c:pt>
                <c:pt idx="11">
                  <c:v>0.13647701934616999</c:v>
                </c:pt>
                <c:pt idx="12">
                  <c:v>4.48814947976117E-2</c:v>
                </c:pt>
                <c:pt idx="13">
                  <c:v>4.7513973823703197E-2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7-43D4-A8DE-89E1FADE4E43}"/>
            </c:ext>
          </c:extLst>
        </c:ser>
        <c:ser>
          <c:idx val="1"/>
          <c:order val="1"/>
          <c:tx>
            <c:strRef>
              <c:f>'sequence-2-simulation-1'!$C$19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'sequence-2-simulation-1'!$A$20:$A$33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'sequence-2-simulation-1'!$C$20:$C$33</c:f>
              <c:numCache>
                <c:formatCode>0.00000\ "µs"</c:formatCode>
                <c:ptCount val="14"/>
                <c:pt idx="0">
                  <c:v>0.96831688288780005</c:v>
                </c:pt>
                <c:pt idx="1">
                  <c:v>0.104455585503146</c:v>
                </c:pt>
                <c:pt idx="2">
                  <c:v>0.166175624287309</c:v>
                </c:pt>
                <c:pt idx="3">
                  <c:v>5.1840931645291001E-2</c:v>
                </c:pt>
                <c:pt idx="4">
                  <c:v>3.2933440885551502E-2</c:v>
                </c:pt>
                <c:pt idx="5">
                  <c:v>2.4418745044485698E-2</c:v>
                </c:pt>
                <c:pt idx="6">
                  <c:v>0.66732959135654502</c:v>
                </c:pt>
                <c:pt idx="7">
                  <c:v>0.94993365688355003</c:v>
                </c:pt>
                <c:pt idx="8">
                  <c:v>0.45264216000785001</c:v>
                </c:pt>
                <c:pt idx="9">
                  <c:v>5.32847578143281E-2</c:v>
                </c:pt>
                <c:pt idx="10">
                  <c:v>3.3325503279715597E-2</c:v>
                </c:pt>
                <c:pt idx="11">
                  <c:v>0.132967685932322</c:v>
                </c:pt>
                <c:pt idx="12">
                  <c:v>4.4877610495361299E-2</c:v>
                </c:pt>
                <c:pt idx="13">
                  <c:v>4.7398065880617499E-2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7-43D4-A8DE-89E1FADE4E43}"/>
            </c:ext>
          </c:extLst>
        </c:ser>
        <c:ser>
          <c:idx val="2"/>
          <c:order val="2"/>
          <c:tx>
            <c:strRef>
              <c:f>'sequence-2-simulation-1'!$D$19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'sequence-2-simulation-1'!$A$20:$A$33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'sequence-2-simulation-1'!$D$20:$D$33</c:f>
              <c:numCache>
                <c:formatCode>0.00000\ "µs"</c:formatCode>
                <c:ptCount val="14"/>
                <c:pt idx="0">
                  <c:v>0.209521584938508</c:v>
                </c:pt>
                <c:pt idx="1">
                  <c:v>4.0818951057391799E-2</c:v>
                </c:pt>
                <c:pt idx="2">
                  <c:v>0.173531078061927</c:v>
                </c:pt>
                <c:pt idx="3">
                  <c:v>5.07521546275259E-2</c:v>
                </c:pt>
                <c:pt idx="4">
                  <c:v>3.2951448429112698E-2</c:v>
                </c:pt>
                <c:pt idx="5">
                  <c:v>2.43084982878214E-2</c:v>
                </c:pt>
                <c:pt idx="6">
                  <c:v>0.54065375477857802</c:v>
                </c:pt>
                <c:pt idx="7">
                  <c:v>0.20792539413359801</c:v>
                </c:pt>
                <c:pt idx="8">
                  <c:v>0.74433657656569596</c:v>
                </c:pt>
                <c:pt idx="9">
                  <c:v>5.1160936285203198E-2</c:v>
                </c:pt>
                <c:pt idx="10">
                  <c:v>3.3164317902189801E-2</c:v>
                </c:pt>
                <c:pt idx="11">
                  <c:v>0.131307553535979</c:v>
                </c:pt>
                <c:pt idx="12">
                  <c:v>4.49792002048858E-2</c:v>
                </c:pt>
                <c:pt idx="13">
                  <c:v>4.7361644334714202E-2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97-43D4-A8DE-89E1FADE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5572275"/>
        <c:axId val="1555802507"/>
      </c:barChart>
      <c:catAx>
        <c:axId val="1385572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5802507"/>
        <c:crosses val="autoZero"/>
        <c:auto val="1"/>
        <c:lblAlgn val="ctr"/>
        <c:lblOffset val="100"/>
        <c:noMultiLvlLbl val="1"/>
      </c:catAx>
      <c:valAx>
        <c:axId val="1555802507"/>
        <c:scaling>
          <c:orientation val="minMax"/>
          <c:max val="1.8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&quot; μs&quot;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55722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Method Runtime Breakdown for Sequence 2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'sequence-2-simulation-1'!$G$19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'sequence-2-simulation-1'!$G$20:$G$22</c:f>
              <c:numCache>
                <c:formatCode>0.00000\ "s"</c:formatCode>
                <c:ptCount val="3"/>
                <c:pt idx="0">
                  <c:v>9.2312415999999988</c:v>
                </c:pt>
                <c:pt idx="1">
                  <c:v>75.755254600000001</c:v>
                </c:pt>
                <c:pt idx="2">
                  <c:v>16.3917012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F-4857-9B64-3950C6D14958}"/>
            </c:ext>
          </c:extLst>
        </c:ser>
        <c:ser>
          <c:idx val="1"/>
          <c:order val="1"/>
          <c:tx>
            <c:strRef>
              <c:f>'sequence-2-simulation-1'!$H$19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'sequence-2-simulation-1'!$H$20:$H$22</c:f>
              <c:numCache>
                <c:formatCode>0.00000\ "s"</c:formatCode>
                <c:ptCount val="3"/>
                <c:pt idx="0">
                  <c:v>3.8076281000000001</c:v>
                </c:pt>
                <c:pt idx="1">
                  <c:v>8.7838111999999988</c:v>
                </c:pt>
                <c:pt idx="2">
                  <c:v>3.4325207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F-4857-9B64-3950C6D14958}"/>
            </c:ext>
          </c:extLst>
        </c:ser>
        <c:ser>
          <c:idx val="2"/>
          <c:order val="2"/>
          <c:tx>
            <c:strRef>
              <c:f>'sequence-2-simulation-1'!$M$19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'sequence-2-simulation-1'!$M$20:$M$22</c:f>
              <c:numCache>
                <c:formatCode>0.00000\ "s"</c:formatCode>
                <c:ptCount val="3"/>
                <c:pt idx="0">
                  <c:v>89.113732799999994</c:v>
                </c:pt>
                <c:pt idx="1">
                  <c:v>36.246220299999997</c:v>
                </c:pt>
                <c:pt idx="2">
                  <c:v>29.365781699999999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F-4857-9B64-3950C6D14958}"/>
            </c:ext>
          </c:extLst>
        </c:ser>
        <c:ser>
          <c:idx val="3"/>
          <c:order val="3"/>
          <c:tx>
            <c:strRef>
              <c:f>'sequence-2-simulation-1'!$N$19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'sequence-2-simulation-1'!$N$20:$N$22</c:f>
              <c:numCache>
                <c:formatCode>0.00000\ "s"</c:formatCode>
                <c:ptCount val="3"/>
                <c:pt idx="0">
                  <c:v>7.1826529000000008</c:v>
                </c:pt>
                <c:pt idx="1">
                  <c:v>58.071524799999999</c:v>
                </c:pt>
                <c:pt idx="2">
                  <c:v>12.710934699999999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F-4857-9B64-3950C6D14958}"/>
            </c:ext>
          </c:extLst>
        </c:ser>
        <c:ser>
          <c:idx val="4"/>
          <c:order val="4"/>
          <c:tx>
            <c:strRef>
              <c:f>'sequence-2-simulation-1'!$I$19</c:f>
              <c:strCache>
                <c:ptCount val="1"/>
                <c:pt idx="0">
                  <c:v>SBC.Reorient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'sequence-2-simulation-1'!$I$20:$I$22</c:f>
              <c:numCache>
                <c:formatCode>0.00000\ "s"</c:formatCode>
                <c:ptCount val="3"/>
                <c:pt idx="0">
                  <c:v>1.0183096</c:v>
                </c:pt>
                <c:pt idx="1">
                  <c:v>0.96618330000000008</c:v>
                </c:pt>
                <c:pt idx="2">
                  <c:v>1.0089496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F-4857-9B64-3950C6D14958}"/>
            </c:ext>
          </c:extLst>
        </c:ser>
        <c:ser>
          <c:idx val="5"/>
          <c:order val="5"/>
          <c:tx>
            <c:strRef>
              <c:f>'sequence-2-simulation-1'!$J$19</c:f>
              <c:strCache>
                <c:ptCount val="1"/>
                <c:pt idx="0">
                  <c:v>SBC.Reposition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'sequence-2-simulation-1'!$J$20:$J$22</c:f>
              <c:numCache>
                <c:formatCode>0.00000\ "s"</c:formatCode>
                <c:ptCount val="3"/>
                <c:pt idx="0">
                  <c:v>0.32479799999999998</c:v>
                </c:pt>
                <c:pt idx="1">
                  <c:v>0.30141509999999999</c:v>
                </c:pt>
                <c:pt idx="2">
                  <c:v>0.29508470000000003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5F-4857-9B64-3950C6D14958}"/>
            </c:ext>
          </c:extLst>
        </c:ser>
        <c:ser>
          <c:idx val="6"/>
          <c:order val="6"/>
          <c:tx>
            <c:strRef>
              <c:f>'sequence-2-simulation-1'!$K$19</c:f>
              <c:strCache>
                <c:ptCount val="1"/>
                <c:pt idx="0">
                  <c:v>SBC.Resize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'sequence-2-simulation-1'!$K$20:$K$22</c:f>
              <c:numCache>
                <c:formatCode>0.00000\ "s"</c:formatCode>
                <c:ptCount val="3"/>
                <c:pt idx="0">
                  <c:v>0.1892045</c:v>
                </c:pt>
                <c:pt idx="1">
                  <c:v>0.1914826</c:v>
                </c:pt>
                <c:pt idx="2">
                  <c:v>0.19158729999999999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5F-4857-9B64-3950C6D14958}"/>
            </c:ext>
          </c:extLst>
        </c:ser>
        <c:ser>
          <c:idx val="7"/>
          <c:order val="7"/>
          <c:tx>
            <c:strRef>
              <c:f>'sequence-2-simulation-1'!$L$19</c:f>
              <c:strCache>
                <c:ptCount val="1"/>
                <c:pt idx="0">
                  <c:v>SBC.UpdateSimpleSize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'sequence-2-simulation-1'!$L$20:$L$22</c:f>
              <c:numCache>
                <c:formatCode>0.00000\ "s"</c:formatCode>
                <c:ptCount val="3"/>
                <c:pt idx="0">
                  <c:v>0.1460081</c:v>
                </c:pt>
                <c:pt idx="1">
                  <c:v>0.14197620000000002</c:v>
                </c:pt>
                <c:pt idx="2">
                  <c:v>0.14133520000000002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5F-4857-9B64-3950C6D14958}"/>
            </c:ext>
          </c:extLst>
        </c:ser>
        <c:ser>
          <c:idx val="8"/>
          <c:order val="8"/>
          <c:tx>
            <c:strRef>
              <c:f>'sequence-2-simulation-1'!$O$19</c:f>
              <c:strCache>
                <c:ptCount val="1"/>
                <c:pt idx="0">
                  <c:v>SOBR.Reorient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'sequence-2-simulation-1'!$O$20:$O$22</c:f>
              <c:numCache>
                <c:formatCode>0.00000\ "s"</c:formatCode>
                <c:ptCount val="3"/>
                <c:pt idx="0">
                  <c:v>1.1569483999999999</c:v>
                </c:pt>
                <c:pt idx="1">
                  <c:v>2.9983242999999997</c:v>
                </c:pt>
                <c:pt idx="2">
                  <c:v>4.9305227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5F-4857-9B64-3950C6D14958}"/>
            </c:ext>
          </c:extLst>
        </c:ser>
        <c:ser>
          <c:idx val="9"/>
          <c:order val="9"/>
          <c:tx>
            <c:strRef>
              <c:f>'sequence-2-simulation-1'!$P$19</c:f>
              <c:strCache>
                <c:ptCount val="1"/>
                <c:pt idx="0">
                  <c:v>SOBR.Reposition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'sequence-2-simulation-1'!$P$20:$P$22</c:f>
              <c:numCache>
                <c:formatCode>0.00000\ "s"</c:formatCode>
                <c:ptCount val="3"/>
                <c:pt idx="0">
                  <c:v>0.3735832</c:v>
                </c:pt>
                <c:pt idx="1">
                  <c:v>0.35296090000000002</c:v>
                </c:pt>
                <c:pt idx="2">
                  <c:v>0.33889259999999999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5F-4857-9B64-3950C6D14958}"/>
            </c:ext>
          </c:extLst>
        </c:ser>
        <c:ser>
          <c:idx val="10"/>
          <c:order val="10"/>
          <c:tx>
            <c:strRef>
              <c:f>'sequence-2-simulation-1'!$Q$19</c:f>
              <c:strCache>
                <c:ptCount val="1"/>
                <c:pt idx="0">
                  <c:v>SOBR.Resize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'sequence-2-simulation-1'!$Q$20:$Q$22</c:f>
              <c:numCache>
                <c:formatCode>0.00000\ "s"</c:formatCode>
                <c:ptCount val="3"/>
                <c:pt idx="0">
                  <c:v>0.21846729999999998</c:v>
                </c:pt>
                <c:pt idx="1">
                  <c:v>0.2207498</c:v>
                </c:pt>
                <c:pt idx="2">
                  <c:v>0.21968210000000002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5F-4857-9B64-3950C6D14958}"/>
            </c:ext>
          </c:extLst>
        </c:ser>
        <c:ser>
          <c:idx val="11"/>
          <c:order val="11"/>
          <c:tx>
            <c:strRef>
              <c:f>'sequence-2-simulation-1'!$R$19</c:f>
              <c:strCache>
                <c:ptCount val="1"/>
                <c:pt idx="0">
                  <c:v>SOBR.UpdateSimpleSize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'sequence-2-simulation-1'!$F$20:$F$22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'sequence-2-simulation-1'!$R$20:$R$22</c:f>
              <c:numCache>
                <c:formatCode>0.00000\ "s"</c:formatCode>
                <c:ptCount val="3"/>
                <c:pt idx="0">
                  <c:v>0.90403060000000002</c:v>
                </c:pt>
                <c:pt idx="1">
                  <c:v>0.88078460000000003</c:v>
                </c:pt>
                <c:pt idx="2">
                  <c:v>0.8697878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5F-4857-9B64-3950C6D14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4826750"/>
        <c:axId val="1067521168"/>
      </c:barChart>
      <c:catAx>
        <c:axId val="15948267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7521168"/>
        <c:crosses val="autoZero"/>
        <c:auto val="1"/>
        <c:lblAlgn val="ctr"/>
        <c:lblOffset val="100"/>
        <c:noMultiLvlLbl val="1"/>
      </c:catAx>
      <c:valAx>
        <c:axId val="1067521168"/>
        <c:scaling>
          <c:orientation val="minMax"/>
          <c:max val="200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Runtime (s)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4826750"/>
        <c:crosses val="max"/>
        <c:crossBetween val="between"/>
        <c:majorUnit val="50"/>
        <c:minorUnit val="16.666666666666668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Runtime Comparison of the Implementations in Sequence 2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'sequence-2-simulation-1'!$S$24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'sequence-2-simulation-1'!$S$25:$S$29</c:f>
              <c:numCache>
                <c:formatCode>0.00%</c:formatCode>
                <c:ptCount val="5"/>
                <c:pt idx="0">
                  <c:v>0.71546710365827071</c:v>
                </c:pt>
                <c:pt idx="1">
                  <c:v>0.61130048584579799</c:v>
                </c:pt>
                <c:pt idx="2">
                  <c:v>1.0001378277486912</c:v>
                </c:pt>
                <c:pt idx="3">
                  <c:v>0.85146293198123624</c:v>
                </c:pt>
                <c:pt idx="4">
                  <c:v>0.97366611068711684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2-4635-BC08-D7736094922C}"/>
            </c:ext>
          </c:extLst>
        </c:ser>
        <c:ser>
          <c:idx val="1"/>
          <c:order val="1"/>
          <c:tx>
            <c:strRef>
              <c:f>'sequence-2-simulation-1'!$T$24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'sequence-2-simulation-1'!$T$25:$T$29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2-4635-BC08-D7736094922C}"/>
            </c:ext>
          </c:extLst>
        </c:ser>
        <c:ser>
          <c:idx val="2"/>
          <c:order val="2"/>
          <c:tx>
            <c:strRef>
              <c:f>'sequence-2-simulation-1'!$U$24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'sequence-2-simulation-1'!$U$25:$U$29</c:f>
              <c:numCache>
                <c:formatCode>0.00%</c:formatCode>
                <c:ptCount val="5"/>
                <c:pt idx="0">
                  <c:v>1.3207804294927177</c:v>
                </c:pt>
                <c:pt idx="1">
                  <c:v>0.34609215041080665</c:v>
                </c:pt>
                <c:pt idx="2">
                  <c:v>1.0021977966483335</c:v>
                </c:pt>
                <c:pt idx="3">
                  <c:v>0.76142039374988668</c:v>
                </c:pt>
                <c:pt idx="4">
                  <c:v>0.9460397227898274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2-4635-BC08-D7736094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790790"/>
        <c:axId val="2002299249"/>
      </c:barChart>
      <c:catAx>
        <c:axId val="13107907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2299249"/>
        <c:crosses val="autoZero"/>
        <c:auto val="1"/>
        <c:lblAlgn val="ctr"/>
        <c:lblOffset val="100"/>
        <c:noMultiLvlLbl val="1"/>
      </c:catAx>
      <c:valAx>
        <c:axId val="2002299249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07907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 for Sequence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'sequence-3-simulation-1'!$B$19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'sequence-3-simulation-1'!$A$20:$A$33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'sequence-3-simulation-1'!$B$20:$B$33</c:f>
              <c:numCache>
                <c:formatCode>0.00000\ "µs"</c:formatCode>
                <c:ptCount val="14"/>
                <c:pt idx="0">
                  <c:v>0.118376437116807</c:v>
                </c:pt>
                <c:pt idx="1">
                  <c:v>4.5093788172108198E-2</c:v>
                </c:pt>
                <c:pt idx="2">
                  <c:v>0.17407594822790201</c:v>
                </c:pt>
                <c:pt idx="3">
                  <c:v>5.4226740190463703E-2</c:v>
                </c:pt>
                <c:pt idx="4">
                  <c:v>3.2319116732663501E-2</c:v>
                </c:pt>
                <c:pt idx="5">
                  <c:v>2.4868925287168199E-2</c:v>
                </c:pt>
                <c:pt idx="6">
                  <c:v>1.67747851264865</c:v>
                </c:pt>
                <c:pt idx="7">
                  <c:v>0.119260848423817</c:v>
                </c:pt>
                <c:pt idx="8">
                  <c:v>0.174461788369392</c:v>
                </c:pt>
                <c:pt idx="9">
                  <c:v>5.6491336670853598E-2</c:v>
                </c:pt>
                <c:pt idx="10">
                  <c:v>3.2953430688644703E-2</c:v>
                </c:pt>
                <c:pt idx="11">
                  <c:v>0.13616859428351599</c:v>
                </c:pt>
                <c:pt idx="12">
                  <c:v>4.1830687903383998E-2</c:v>
                </c:pt>
                <c:pt idx="13">
                  <c:v>4.8078717076193801E-2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2-4DAE-ACA2-8B4516FBDC95}"/>
            </c:ext>
          </c:extLst>
        </c:ser>
        <c:ser>
          <c:idx val="1"/>
          <c:order val="1"/>
          <c:tx>
            <c:strRef>
              <c:f>'sequence-3-simulation-1'!$C$19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'sequence-3-simulation-1'!$A$20:$A$33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'sequence-3-simulation-1'!$C$20:$C$33</c:f>
              <c:numCache>
                <c:formatCode>0.00000\ "µs"</c:formatCode>
                <c:ptCount val="14"/>
                <c:pt idx="0">
                  <c:v>0.97358307568779701</c:v>
                </c:pt>
                <c:pt idx="1">
                  <c:v>0.103923920268959</c:v>
                </c:pt>
                <c:pt idx="2">
                  <c:v>0.16409889714304399</c:v>
                </c:pt>
                <c:pt idx="3">
                  <c:v>5.0457931079621703E-2</c:v>
                </c:pt>
                <c:pt idx="4">
                  <c:v>3.2083941486402499E-2</c:v>
                </c:pt>
                <c:pt idx="5">
                  <c:v>2.4348733514415698E-2</c:v>
                </c:pt>
                <c:pt idx="6">
                  <c:v>0.67967991240197501</c:v>
                </c:pt>
                <c:pt idx="7">
                  <c:v>0.95574498687431497</c:v>
                </c:pt>
                <c:pt idx="8">
                  <c:v>0.49793849598664802</c:v>
                </c:pt>
                <c:pt idx="9">
                  <c:v>5.2667237324821002E-2</c:v>
                </c:pt>
                <c:pt idx="10">
                  <c:v>3.3322200634134602E-2</c:v>
                </c:pt>
                <c:pt idx="11">
                  <c:v>0.132354883548818</c:v>
                </c:pt>
                <c:pt idx="12">
                  <c:v>4.18564447562862E-2</c:v>
                </c:pt>
                <c:pt idx="13">
                  <c:v>4.8026810426311503E-2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2-4DAE-ACA2-8B4516FBDC95}"/>
            </c:ext>
          </c:extLst>
        </c:ser>
        <c:ser>
          <c:idx val="2"/>
          <c:order val="2"/>
          <c:tx>
            <c:strRef>
              <c:f>'sequence-3-simulation-1'!$D$19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'sequence-3-simulation-1'!$A$20:$A$33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'sequence-3-simulation-1'!$D$20:$D$33</c:f>
              <c:numCache>
                <c:formatCode>0.00000\ "µs"</c:formatCode>
                <c:ptCount val="14"/>
                <c:pt idx="0">
                  <c:v>0.21189643431723701</c:v>
                </c:pt>
                <c:pt idx="1">
                  <c:v>4.0870042267529702E-2</c:v>
                </c:pt>
                <c:pt idx="2">
                  <c:v>0.17318930196027099</c:v>
                </c:pt>
                <c:pt idx="3">
                  <c:v>5.11887292600713E-2</c:v>
                </c:pt>
                <c:pt idx="4">
                  <c:v>3.2357585823215601E-2</c:v>
                </c:pt>
                <c:pt idx="5">
                  <c:v>2.42176178944268E-2</c:v>
                </c:pt>
                <c:pt idx="6">
                  <c:v>0.54606675153751405</c:v>
                </c:pt>
                <c:pt idx="7">
                  <c:v>0.21016220906045899</c:v>
                </c:pt>
                <c:pt idx="8">
                  <c:v>0.82636156488546297</c:v>
                </c:pt>
                <c:pt idx="9">
                  <c:v>5.2870742493799E-2</c:v>
                </c:pt>
                <c:pt idx="10">
                  <c:v>3.3404124707981299E-2</c:v>
                </c:pt>
                <c:pt idx="11">
                  <c:v>0.131607143930347</c:v>
                </c:pt>
                <c:pt idx="12">
                  <c:v>4.1816000195525498E-2</c:v>
                </c:pt>
                <c:pt idx="13">
                  <c:v>4.8034733173050403E-2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2-4DAE-ACA2-8B4516FBD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504969"/>
        <c:axId val="421920407"/>
      </c:barChart>
      <c:catAx>
        <c:axId val="657504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1920407"/>
        <c:crosses val="autoZero"/>
        <c:auto val="1"/>
        <c:lblAlgn val="ctr"/>
        <c:lblOffset val="100"/>
        <c:noMultiLvlLbl val="1"/>
      </c:catAx>
      <c:valAx>
        <c:axId val="421920407"/>
        <c:scaling>
          <c:orientation val="minMax"/>
          <c:max val="1.8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&quot; μs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75049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Method Runtime Breakdown for Sequence 3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'sequence-3-simulation-1'!$G$19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'sequence-3-simulation-1'!$G$20:$G$22</c:f>
              <c:numCache>
                <c:formatCode>0.00000\ "s"</c:formatCode>
                <c:ptCount val="3"/>
                <c:pt idx="0">
                  <c:v>10.229298099999999</c:v>
                </c:pt>
                <c:pt idx="1">
                  <c:v>84.130522499999998</c:v>
                </c:pt>
                <c:pt idx="2">
                  <c:v>18.310669300000001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D-445A-B277-60BB8718A4B6}"/>
            </c:ext>
          </c:extLst>
        </c:ser>
        <c:ser>
          <c:idx val="1"/>
          <c:order val="1"/>
          <c:tx>
            <c:strRef>
              <c:f>'sequence-3-simulation-1'!$H$19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'sequence-3-simulation-1'!$H$20:$H$22</c:f>
              <c:numCache>
                <c:formatCode>0.00000\ "s"</c:formatCode>
                <c:ptCount val="3"/>
                <c:pt idx="0">
                  <c:v>4.9486577</c:v>
                </c:pt>
                <c:pt idx="1">
                  <c:v>11.4047617</c:v>
                </c:pt>
                <c:pt idx="2">
                  <c:v>4.4851377000000001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D-445A-B277-60BB8718A4B6}"/>
            </c:ext>
          </c:extLst>
        </c:ser>
        <c:ser>
          <c:idx val="2"/>
          <c:order val="2"/>
          <c:tx>
            <c:strRef>
              <c:f>'sequence-3-simulation-1'!$M$19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'sequence-3-simulation-1'!$M$20:$M$22</c:f>
              <c:numCache>
                <c:formatCode>0.00000\ "s"</c:formatCode>
                <c:ptCount val="3"/>
                <c:pt idx="0">
                  <c:v>73.565602099999992</c:v>
                </c:pt>
                <c:pt idx="1">
                  <c:v>29.807274199999998</c:v>
                </c:pt>
                <c:pt idx="2">
                  <c:v>23.947686399999998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1D-445A-B277-60BB8718A4B6}"/>
            </c:ext>
          </c:extLst>
        </c:ser>
        <c:ser>
          <c:idx val="3"/>
          <c:order val="3"/>
          <c:tx>
            <c:strRef>
              <c:f>'sequence-3-simulation-1'!$N$19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'sequence-3-simulation-1'!$N$20:$N$22</c:f>
              <c:numCache>
                <c:formatCode>0.00000\ "s"</c:formatCode>
                <c:ptCount val="3"/>
                <c:pt idx="0">
                  <c:v>7.0224394000000006</c:v>
                </c:pt>
                <c:pt idx="1">
                  <c:v>56.277155</c:v>
                </c:pt>
                <c:pt idx="2">
                  <c:v>12.374986400000001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1D-445A-B277-60BB8718A4B6}"/>
            </c:ext>
          </c:extLst>
        </c:ser>
        <c:ser>
          <c:idx val="4"/>
          <c:order val="4"/>
          <c:tx>
            <c:strRef>
              <c:f>'sequence-3-simulation-1'!$I$19</c:f>
              <c:strCache>
                <c:ptCount val="1"/>
                <c:pt idx="0">
                  <c:v>SBC.Reorient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'sequence-3-simulation-1'!$I$20:$I$22</c:f>
              <c:numCache>
                <c:formatCode>0.00000\ "s"</c:formatCode>
                <c:ptCount val="3"/>
                <c:pt idx="0">
                  <c:v>2.1276955000000002</c:v>
                </c:pt>
                <c:pt idx="1">
                  <c:v>2.0057480000000001</c:v>
                </c:pt>
                <c:pt idx="2">
                  <c:v>2.1168582000000002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1D-445A-B277-60BB8718A4B6}"/>
            </c:ext>
          </c:extLst>
        </c:ser>
        <c:ser>
          <c:idx val="5"/>
          <c:order val="5"/>
          <c:tx>
            <c:strRef>
              <c:f>'sequence-3-simulation-1'!$J$19</c:f>
              <c:strCache>
                <c:ptCount val="1"/>
                <c:pt idx="0">
                  <c:v>SBC.Reposition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'sequence-3-simulation-1'!$J$20:$J$22</c:f>
              <c:numCache>
                <c:formatCode>0.00000\ "s"</c:formatCode>
                <c:ptCount val="3"/>
                <c:pt idx="0">
                  <c:v>0.66280260000000002</c:v>
                </c:pt>
                <c:pt idx="1">
                  <c:v>0.61673719999999999</c:v>
                </c:pt>
                <c:pt idx="2">
                  <c:v>0.62566959999999994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1D-445A-B277-60BB8718A4B6}"/>
            </c:ext>
          </c:extLst>
        </c:ser>
        <c:ser>
          <c:idx val="6"/>
          <c:order val="6"/>
          <c:tx>
            <c:strRef>
              <c:f>'sequence-3-simulation-1'!$K$19</c:f>
              <c:strCache>
                <c:ptCount val="1"/>
                <c:pt idx="0">
                  <c:v>SBC.Resize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'sequence-3-simulation-1'!$K$20:$K$22</c:f>
              <c:numCache>
                <c:formatCode>0.00000\ "s"</c:formatCode>
                <c:ptCount val="3"/>
                <c:pt idx="0">
                  <c:v>0.3950301</c:v>
                </c:pt>
                <c:pt idx="1">
                  <c:v>0.39215559999999999</c:v>
                </c:pt>
                <c:pt idx="2">
                  <c:v>0.39550029999999997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1D-445A-B277-60BB8718A4B6}"/>
            </c:ext>
          </c:extLst>
        </c:ser>
        <c:ser>
          <c:idx val="7"/>
          <c:order val="7"/>
          <c:tx>
            <c:strRef>
              <c:f>'sequence-3-simulation-1'!$L$19</c:f>
              <c:strCache>
                <c:ptCount val="1"/>
                <c:pt idx="0">
                  <c:v>SBC.UpdateSimpleSize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'sequence-3-simulation-1'!$L$20:$L$22</c:f>
              <c:numCache>
                <c:formatCode>0.00000\ "s"</c:formatCode>
                <c:ptCount val="3"/>
                <c:pt idx="0">
                  <c:v>0.30396790000000001</c:v>
                </c:pt>
                <c:pt idx="1">
                  <c:v>0.29760970000000003</c:v>
                </c:pt>
                <c:pt idx="2">
                  <c:v>0.29600709999999997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1D-445A-B277-60BB8718A4B6}"/>
            </c:ext>
          </c:extLst>
        </c:ser>
        <c:ser>
          <c:idx val="8"/>
          <c:order val="8"/>
          <c:tx>
            <c:strRef>
              <c:f>'sequence-3-simulation-1'!$O$19</c:f>
              <c:strCache>
                <c:ptCount val="1"/>
                <c:pt idx="0">
                  <c:v>SOBR.Reorient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'sequence-3-simulation-1'!$O$20:$O$22</c:f>
              <c:numCache>
                <c:formatCode>0.00000\ "s"</c:formatCode>
                <c:ptCount val="3"/>
                <c:pt idx="0">
                  <c:v>2.0320209999999999</c:v>
                </c:pt>
                <c:pt idx="1">
                  <c:v>5.7996739000000002</c:v>
                </c:pt>
                <c:pt idx="2">
                  <c:v>9.6249389000000001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1D-445A-B277-60BB8718A4B6}"/>
            </c:ext>
          </c:extLst>
        </c:ser>
        <c:ser>
          <c:idx val="9"/>
          <c:order val="9"/>
          <c:tx>
            <c:strRef>
              <c:f>'sequence-3-simulation-1'!$P$19</c:f>
              <c:strCache>
                <c:ptCount val="1"/>
                <c:pt idx="0">
                  <c:v>SOBR.Reposition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'sequence-3-simulation-1'!$P$20:$P$22</c:f>
              <c:numCache>
                <c:formatCode>0.00000\ "s"</c:formatCode>
                <c:ptCount val="3"/>
                <c:pt idx="0">
                  <c:v>0.65797550000000005</c:v>
                </c:pt>
                <c:pt idx="1">
                  <c:v>0.61343480000000006</c:v>
                </c:pt>
                <c:pt idx="2">
                  <c:v>0.61580509999999999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1D-445A-B277-60BB8718A4B6}"/>
            </c:ext>
          </c:extLst>
        </c:ser>
        <c:ser>
          <c:idx val="10"/>
          <c:order val="10"/>
          <c:tx>
            <c:strRef>
              <c:f>'sequence-3-simulation-1'!$Q$19</c:f>
              <c:strCache>
                <c:ptCount val="1"/>
                <c:pt idx="0">
                  <c:v>SOBR.Resize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'sequence-3-simulation-1'!$Q$20:$Q$22</c:f>
              <c:numCache>
                <c:formatCode>0.00000\ "s"</c:formatCode>
                <c:ptCount val="3"/>
                <c:pt idx="0">
                  <c:v>0.38382079999999996</c:v>
                </c:pt>
                <c:pt idx="1">
                  <c:v>0.38811600000000002</c:v>
                </c:pt>
                <c:pt idx="2">
                  <c:v>0.38907020000000003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1D-445A-B277-60BB8718A4B6}"/>
            </c:ext>
          </c:extLst>
        </c:ser>
        <c:ser>
          <c:idx val="11"/>
          <c:order val="11"/>
          <c:tx>
            <c:strRef>
              <c:f>'sequence-3-simulation-1'!$R$19</c:f>
              <c:strCache>
                <c:ptCount val="1"/>
                <c:pt idx="0">
                  <c:v>SOBR.UpdateSimpleSize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'sequence-3-simulation-1'!$F$20:$F$22</c:f>
              <c:strCache>
                <c:ptCount val="3"/>
                <c:pt idx="0">
                  <c:v>Euclidean</c:v>
                </c:pt>
                <c:pt idx="1">
                  <c:v>Baseline</c:v>
                </c:pt>
                <c:pt idx="2">
                  <c:v>Artifact</c:v>
                </c:pt>
              </c:strCache>
            </c:strRef>
          </c:cat>
          <c:val>
            <c:numRef>
              <c:f>'sequence-3-simulation-1'!$R$20:$R$22</c:f>
              <c:numCache>
                <c:formatCode>0.00000\ "s"</c:formatCode>
                <c:ptCount val="3"/>
                <c:pt idx="0">
                  <c:v>1.586006</c:v>
                </c:pt>
                <c:pt idx="1">
                  <c:v>1.5415863000000001</c:v>
                </c:pt>
                <c:pt idx="2">
                  <c:v>1.5328771000000001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91D-445A-B277-60BB8718A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0739457"/>
        <c:axId val="1413381672"/>
      </c:barChart>
      <c:catAx>
        <c:axId val="18807394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381672"/>
        <c:crosses val="autoZero"/>
        <c:auto val="1"/>
        <c:lblAlgn val="ctr"/>
        <c:lblOffset val="100"/>
        <c:noMultiLvlLbl val="1"/>
      </c:catAx>
      <c:valAx>
        <c:axId val="14133816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Runtime (s)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0739457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Check Function Calls per Sequence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'sequence-3-simulation-1'!$F$25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'sequence-3-simulation-1'!$G$25:$I$25</c:f>
              <c:numCache>
                <c:formatCode>General</c:formatCode>
                <c:ptCount val="3"/>
                <c:pt idx="0">
                  <c:v>4332776</c:v>
                </c:pt>
                <c:pt idx="1">
                  <c:v>78233950</c:v>
                </c:pt>
                <c:pt idx="2">
                  <c:v>86413296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C-4603-BFE4-A67B4A74123D}"/>
            </c:ext>
          </c:extLst>
        </c:ser>
        <c:ser>
          <c:idx val="1"/>
          <c:order val="1"/>
          <c:tx>
            <c:strRef>
              <c:f>'sequence-3-simulation-1'!$J$25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'sequence-3-simulation-1'!$K$25:$M$25</c:f>
              <c:numCache>
                <c:formatCode>0.00%</c:formatCode>
                <c:ptCount val="3"/>
                <c:pt idx="0">
                  <c:v>0.35981281790437436</c:v>
                </c:pt>
                <c:pt idx="1">
                  <c:v>0.28164725697954385</c:v>
                </c:pt>
                <c:pt idx="2">
                  <c:v>0.28911148832570788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C-4603-BFE4-A67B4A74123D}"/>
            </c:ext>
          </c:extLst>
        </c:ser>
        <c:ser>
          <c:idx val="2"/>
          <c:order val="2"/>
          <c:tx>
            <c:strRef>
              <c:f>'sequence-3-simulation-1'!$F$26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'sequence-3-simulation-1'!$G$26:$I$26</c:f>
              <c:numCache>
                <c:formatCode>General</c:formatCode>
                <c:ptCount val="3"/>
                <c:pt idx="0">
                  <c:v>3836730</c:v>
                </c:pt>
                <c:pt idx="1">
                  <c:v>84091350</c:v>
                </c:pt>
                <c:pt idx="2">
                  <c:v>109741450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CC-4603-BFE4-A67B4A74123D}"/>
            </c:ext>
          </c:extLst>
        </c:ser>
        <c:ser>
          <c:idx val="3"/>
          <c:order val="3"/>
          <c:tx>
            <c:strRef>
              <c:f>'sequence-3-simulation-1'!$J$26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'sequence-3-simulation-1'!$K$26:$M$26</c:f>
              <c:numCache>
                <c:formatCode>0.00%</c:formatCode>
                <c:ptCount val="3"/>
                <c:pt idx="0">
                  <c:v>0.31861897149500695</c:v>
                </c:pt>
                <c:pt idx="1">
                  <c:v>0.30273427409975801</c:v>
                </c:pt>
                <c:pt idx="2">
                  <c:v>0.36716009467479693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CC-4603-BFE4-A67B4A74123D}"/>
            </c:ext>
          </c:extLst>
        </c:ser>
        <c:ser>
          <c:idx val="4"/>
          <c:order val="4"/>
          <c:tx>
            <c:strRef>
              <c:f>'sequence-3-simulation-1'!$F$27</c:f>
              <c:strCache>
                <c:ptCount val="1"/>
                <c:pt idx="0">
                  <c:v>SOBR.CheckSOBR</c:v>
                </c:pt>
              </c:strCache>
            </c:strRef>
          </c:tx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'sequence-3-simulation-1'!$G$27:$I$27</c:f>
              <c:numCache>
                <c:formatCode>General</c:formatCode>
                <c:ptCount val="3"/>
                <c:pt idx="0">
                  <c:v>1837830</c:v>
                </c:pt>
                <c:pt idx="1">
                  <c:v>54315320</c:v>
                </c:pt>
                <c:pt idx="2">
                  <c:v>43854870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CC-4603-BFE4-A67B4A74123D}"/>
            </c:ext>
          </c:extLst>
        </c:ser>
        <c:ser>
          <c:idx val="5"/>
          <c:order val="5"/>
          <c:tx>
            <c:strRef>
              <c:f>'sequence-3-simulation-1'!$J$27</c:f>
              <c:strCache>
                <c:ptCount val="1"/>
                <c:pt idx="0">
                  <c:v>SOBR.CheckSOBR</c:v>
                </c:pt>
              </c:strCache>
            </c:strRef>
          </c:tx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'sequence-3-simulation-1'!$K$27:$M$27</c:f>
              <c:numCache>
                <c:formatCode>0.00%</c:formatCode>
                <c:ptCount val="3"/>
                <c:pt idx="0">
                  <c:v>0.15262150434945088</c:v>
                </c:pt>
                <c:pt idx="1">
                  <c:v>0.19553864901319895</c:v>
                </c:pt>
                <c:pt idx="2">
                  <c:v>0.14672448943540398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CC-4603-BFE4-A67B4A74123D}"/>
            </c:ext>
          </c:extLst>
        </c:ser>
        <c:ser>
          <c:idx val="6"/>
          <c:order val="6"/>
          <c:tx>
            <c:strRef>
              <c:f>'sequence-3-simulation-1'!$F$28</c:f>
              <c:strCache>
                <c:ptCount val="1"/>
                <c:pt idx="0">
                  <c:v>SOBR.CheckSBC</c:v>
                </c:pt>
              </c:strCache>
            </c:strRef>
          </c:tx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'sequence-3-simulation-1'!$G$28:$I$28</c:f>
              <c:numCache>
                <c:formatCode>General</c:formatCode>
                <c:ptCount val="3"/>
                <c:pt idx="0">
                  <c:v>2034414</c:v>
                </c:pt>
                <c:pt idx="1">
                  <c:v>61132190</c:v>
                </c:pt>
                <c:pt idx="2">
                  <c:v>58883024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CC-4603-BFE4-A67B4A74123D}"/>
            </c:ext>
          </c:extLst>
        </c:ser>
        <c:ser>
          <c:idx val="7"/>
          <c:order val="7"/>
          <c:tx>
            <c:strRef>
              <c:f>'sequence-3-simulation-1'!$J$28</c:f>
              <c:strCache>
                <c:ptCount val="1"/>
                <c:pt idx="0">
                  <c:v>SOBR.CheckSBC</c:v>
                </c:pt>
              </c:strCache>
            </c:strRef>
          </c:tx>
          <c:invertIfNegative val="0"/>
          <c:cat>
            <c:strRef>
              <c:f>'sequence-3-simulation-1'!$G$24:$I$24</c:f>
              <c:strCache>
                <c:ptCount val="3"/>
                <c:pt idx="0">
                  <c:v>Sequence 1 calls</c:v>
                </c:pt>
                <c:pt idx="1">
                  <c:v>Sequence 2 calls</c:v>
                </c:pt>
                <c:pt idx="2">
                  <c:v>Sequence 3 calls</c:v>
                </c:pt>
              </c:strCache>
            </c:strRef>
          </c:cat>
          <c:val>
            <c:numRef>
              <c:f>'sequence-3-simulation-1'!$K$28:$M$28</c:f>
              <c:numCache>
                <c:formatCode>0.00%</c:formatCode>
                <c:ptCount val="3"/>
                <c:pt idx="0">
                  <c:v>0.16894670625116781</c:v>
                </c:pt>
                <c:pt idx="1">
                  <c:v>0.22007981990749922</c:v>
                </c:pt>
                <c:pt idx="2">
                  <c:v>0.19700392756409124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CC-4603-BFE4-A67B4A741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5908078"/>
        <c:axId val="166776565"/>
      </c:barChart>
      <c:catAx>
        <c:axId val="7959080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776565"/>
        <c:crosses val="autoZero"/>
        <c:auto val="1"/>
        <c:lblAlgn val="ctr"/>
        <c:lblOffset val="100"/>
        <c:noMultiLvlLbl val="1"/>
      </c:catAx>
      <c:valAx>
        <c:axId val="1667765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90807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Runtime Comparison of the Implementations in Sequence 3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'sequence-3-simulation-1'!$S$24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'sequence-3-simulation-1'!$S$25:$S$29</c:f>
              <c:numCache>
                <c:formatCode>0.00%</c:formatCode>
                <c:ptCount val="5"/>
                <c:pt idx="0">
                  <c:v>0.69920861421451941</c:v>
                </c:pt>
                <c:pt idx="1">
                  <c:v>0.52728856084628084</c:v>
                </c:pt>
                <c:pt idx="2">
                  <c:v>0.99941519200498685</c:v>
                </c:pt>
                <c:pt idx="3">
                  <c:v>0.89822775989803116</c:v>
                </c:pt>
                <c:pt idx="4">
                  <c:v>0.98267561823412897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5-4B28-8A4B-44A9D5F35F69}"/>
            </c:ext>
          </c:extLst>
        </c:ser>
        <c:ser>
          <c:idx val="1"/>
          <c:order val="1"/>
          <c:tx>
            <c:strRef>
              <c:f>'sequence-3-simulation-1'!$T$24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'sequence-3-simulation-1'!$T$25:$T$29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5-4B28-8A4B-44A9D5F35F69}"/>
            </c:ext>
          </c:extLst>
        </c:ser>
        <c:ser>
          <c:idx val="2"/>
          <c:order val="2"/>
          <c:tx>
            <c:strRef>
              <c:f>'sequence-3-simulation-1'!$U$24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'sequence-3-simulation-1'!$R$25:$R$29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'sequence-3-simulation-1'!$U$25:$U$29</c:f>
              <c:numCache>
                <c:formatCode>0.00%</c:formatCode>
                <c:ptCount val="5"/>
                <c:pt idx="0">
                  <c:v>1.3381934106482405</c:v>
                </c:pt>
                <c:pt idx="1">
                  <c:v>0.32550695457710149</c:v>
                </c:pt>
                <c:pt idx="2">
                  <c:v>0.99905410916528625</c:v>
                </c:pt>
                <c:pt idx="3">
                  <c:v>0.86483877315533697</c:v>
                </c:pt>
                <c:pt idx="4">
                  <c:v>0.97288961794648932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5-4B28-8A4B-44A9D5F35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590850"/>
        <c:axId val="839125723"/>
      </c:barChart>
      <c:catAx>
        <c:axId val="670590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9125723"/>
        <c:crosses val="autoZero"/>
        <c:auto val="1"/>
        <c:lblAlgn val="ctr"/>
        <c:lblOffset val="100"/>
        <c:noMultiLvlLbl val="1"/>
      </c:catAx>
      <c:valAx>
        <c:axId val="83912572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059085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Runtimes for Simulation 1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'simulation-1-summary'!$B$2</c:f>
              <c:strCache>
                <c:ptCount val="1"/>
                <c:pt idx="0">
                  <c:v>Sequence 1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F2E-4846-AF0B-F62954DCF48C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F2E-4846-AF0B-F62954DCF48C}"/>
              </c:ext>
            </c:extLst>
          </c:dPt>
          <c:dPt>
            <c:idx val="4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F2E-4846-AF0B-F62954DCF48C}"/>
              </c:ext>
            </c:extLst>
          </c:dPt>
          <c:cat>
            <c:strRef>
              <c:f>'simulation-1-summary'!$A$3:$A$58</c:f>
              <c:strCache>
                <c:ptCount val="56"/>
                <c:pt idx="0">
                  <c:v>SBC.CheckSOBR      -</c:v>
                </c:pt>
                <c:pt idx="1">
                  <c:v>Euclidean</c:v>
                </c:pt>
                <c:pt idx="2">
                  <c:v>Baseline</c:v>
                </c:pt>
                <c:pt idx="3">
                  <c:v>Artifact</c:v>
                </c:pt>
                <c:pt idx="4">
                  <c:v>SBC.CheckSBC      -</c:v>
                </c:pt>
                <c:pt idx="5">
                  <c:v>Euclidean</c:v>
                </c:pt>
                <c:pt idx="6">
                  <c:v>Baseline</c:v>
                </c:pt>
                <c:pt idx="7">
                  <c:v>Artifact</c:v>
                </c:pt>
                <c:pt idx="8">
                  <c:v>SBC.Reorient      -</c:v>
                </c:pt>
                <c:pt idx="9">
                  <c:v>Euclidean</c:v>
                </c:pt>
                <c:pt idx="10">
                  <c:v>Baseline</c:v>
                </c:pt>
                <c:pt idx="11">
                  <c:v>Artifact</c:v>
                </c:pt>
                <c:pt idx="12">
                  <c:v>SBC.Reposition      -</c:v>
                </c:pt>
                <c:pt idx="13">
                  <c:v>Euclidean</c:v>
                </c:pt>
                <c:pt idx="14">
                  <c:v>Baseline</c:v>
                </c:pt>
                <c:pt idx="15">
                  <c:v>Artifact</c:v>
                </c:pt>
                <c:pt idx="16">
                  <c:v>SBC.Resize      -</c:v>
                </c:pt>
                <c:pt idx="17">
                  <c:v>Euclidean</c:v>
                </c:pt>
                <c:pt idx="18">
                  <c:v>Baseline</c:v>
                </c:pt>
                <c:pt idx="19">
                  <c:v>Artifact</c:v>
                </c:pt>
                <c:pt idx="20">
                  <c:v>SBC.UpdateSimpleSize      -</c:v>
                </c:pt>
                <c:pt idx="21">
                  <c:v>Euclidean</c:v>
                </c:pt>
                <c:pt idx="22">
                  <c:v>Baseline</c:v>
                </c:pt>
                <c:pt idx="23">
                  <c:v>Artifact</c:v>
                </c:pt>
                <c:pt idx="24">
                  <c:v>SOBR.CheckSOBR      -</c:v>
                </c:pt>
                <c:pt idx="25">
                  <c:v>Euclidean</c:v>
                </c:pt>
                <c:pt idx="26">
                  <c:v>Baseline</c:v>
                </c:pt>
                <c:pt idx="27">
                  <c:v>Artifact</c:v>
                </c:pt>
                <c:pt idx="28">
                  <c:v>SOBR.CheckSBC      -</c:v>
                </c:pt>
                <c:pt idx="29">
                  <c:v>Euclidean</c:v>
                </c:pt>
                <c:pt idx="30">
                  <c:v>Baseline</c:v>
                </c:pt>
                <c:pt idx="31">
                  <c:v>Artifact</c:v>
                </c:pt>
                <c:pt idx="32">
                  <c:v>SOBR.Reorient      -</c:v>
                </c:pt>
                <c:pt idx="33">
                  <c:v>Euclidean</c:v>
                </c:pt>
                <c:pt idx="34">
                  <c:v>Baseline</c:v>
                </c:pt>
                <c:pt idx="35">
                  <c:v>Artifact</c:v>
                </c:pt>
                <c:pt idx="36">
                  <c:v>SOBR.Reposition      -</c:v>
                </c:pt>
                <c:pt idx="37">
                  <c:v>Euclidean</c:v>
                </c:pt>
                <c:pt idx="38">
                  <c:v>Baseline</c:v>
                </c:pt>
                <c:pt idx="39">
                  <c:v>Artifact</c:v>
                </c:pt>
                <c:pt idx="40">
                  <c:v>SOBR.Resize      -</c:v>
                </c:pt>
                <c:pt idx="41">
                  <c:v>Euclidean</c:v>
                </c:pt>
                <c:pt idx="42">
                  <c:v>Baseline</c:v>
                </c:pt>
                <c:pt idx="43">
                  <c:v>Artifact</c:v>
                </c:pt>
                <c:pt idx="44">
                  <c:v>SOBR.UpdateSimpleSize      -</c:v>
                </c:pt>
                <c:pt idx="45">
                  <c:v>Euclidean</c:v>
                </c:pt>
                <c:pt idx="46">
                  <c:v>Baseline</c:v>
                </c:pt>
                <c:pt idx="47">
                  <c:v>Artifact</c:v>
                </c:pt>
                <c:pt idx="48">
                  <c:v>Simple.Intersects      -</c:v>
                </c:pt>
                <c:pt idx="49">
                  <c:v>Euclidean</c:v>
                </c:pt>
                <c:pt idx="50">
                  <c:v>Baseline</c:v>
                </c:pt>
                <c:pt idx="51">
                  <c:v>Artifact</c:v>
                </c:pt>
                <c:pt idx="52">
                  <c:v>CollisionTree.Contains      -</c:v>
                </c:pt>
                <c:pt idx="53">
                  <c:v>Euclidean</c:v>
                </c:pt>
                <c:pt idx="54">
                  <c:v>Baseline</c:v>
                </c:pt>
                <c:pt idx="55">
                  <c:v>Artifact</c:v>
                </c:pt>
              </c:strCache>
            </c:strRef>
          </c:cat>
          <c:val>
            <c:numRef>
              <c:f>'simulation-1-summary'!$B$3:$B$58</c:f>
              <c:numCache>
                <c:formatCode>0.0\ "µs"</c:formatCode>
                <c:ptCount val="56"/>
                <c:pt idx="1">
                  <c:v>0.13170050790000001</c:v>
                </c:pt>
                <c:pt idx="2">
                  <c:v>1.00350742803228</c:v>
                </c:pt>
                <c:pt idx="3">
                  <c:v>0.23667230893081001</c:v>
                </c:pt>
                <c:pt idx="4">
                  <c:v>0</c:v>
                </c:pt>
                <c:pt idx="5">
                  <c:v>5.0290716313110398E-2</c:v>
                </c:pt>
                <c:pt idx="6">
                  <c:v>0.11322795714058601</c:v>
                </c:pt>
                <c:pt idx="7">
                  <c:v>4.49146017572256E-2</c:v>
                </c:pt>
                <c:pt idx="8">
                  <c:v>0</c:v>
                </c:pt>
                <c:pt idx="9">
                  <c:v>0.194254188802615</c:v>
                </c:pt>
                <c:pt idx="10">
                  <c:v>0.191154919066825</c:v>
                </c:pt>
                <c:pt idx="11">
                  <c:v>0.198074128036105</c:v>
                </c:pt>
                <c:pt idx="12">
                  <c:v>0</c:v>
                </c:pt>
                <c:pt idx="13">
                  <c:v>7.1025745811197402E-2</c:v>
                </c:pt>
                <c:pt idx="14">
                  <c:v>6.3990867255379294E-2</c:v>
                </c:pt>
                <c:pt idx="15">
                  <c:v>6.6393454274089006E-2</c:v>
                </c:pt>
                <c:pt idx="16">
                  <c:v>0</c:v>
                </c:pt>
                <c:pt idx="17">
                  <c:v>3.6176329489525802E-2</c:v>
                </c:pt>
                <c:pt idx="18">
                  <c:v>3.8399815212949301E-2</c:v>
                </c:pt>
                <c:pt idx="19">
                  <c:v>3.9953803237327001E-2</c:v>
                </c:pt>
                <c:pt idx="20">
                  <c:v>0</c:v>
                </c:pt>
                <c:pt idx="21">
                  <c:v>2.9279152822444501E-2</c:v>
                </c:pt>
                <c:pt idx="22">
                  <c:v>2.7813827046427701E-2</c:v>
                </c:pt>
                <c:pt idx="23">
                  <c:v>2.85613262024484E-2</c:v>
                </c:pt>
                <c:pt idx="24">
                  <c:v>0</c:v>
                </c:pt>
                <c:pt idx="25">
                  <c:v>1.7629313919132901</c:v>
                </c:pt>
                <c:pt idx="26">
                  <c:v>0.72986054205231199</c:v>
                </c:pt>
                <c:pt idx="27">
                  <c:v>0.61645549370725305</c:v>
                </c:pt>
                <c:pt idx="28">
                  <c:v>0</c:v>
                </c:pt>
                <c:pt idx="29">
                  <c:v>0.131699545913467</c:v>
                </c:pt>
                <c:pt idx="30">
                  <c:v>1.0697312346454599</c:v>
                </c:pt>
                <c:pt idx="31">
                  <c:v>0.25339326213838498</c:v>
                </c:pt>
                <c:pt idx="32">
                  <c:v>0</c:v>
                </c:pt>
                <c:pt idx="33">
                  <c:v>0.20127496873324999</c:v>
                </c:pt>
                <c:pt idx="34">
                  <c:v>0.47260603894943698</c:v>
                </c:pt>
                <c:pt idx="35">
                  <c:v>0.74440718241915305</c:v>
                </c:pt>
                <c:pt idx="36">
                  <c:v>0</c:v>
                </c:pt>
                <c:pt idx="37">
                  <c:v>8.1140432374486302E-2</c:v>
                </c:pt>
                <c:pt idx="38">
                  <c:v>8.5024477398606399E-2</c:v>
                </c:pt>
                <c:pt idx="39">
                  <c:v>8.2231731284616805E-2</c:v>
                </c:pt>
                <c:pt idx="40">
                  <c:v>0</c:v>
                </c:pt>
                <c:pt idx="41">
                  <c:v>4.08206181883152E-2</c:v>
                </c:pt>
                <c:pt idx="42">
                  <c:v>4.7807754154011103E-2</c:v>
                </c:pt>
                <c:pt idx="43">
                  <c:v>4.9329819546185497E-2</c:v>
                </c:pt>
                <c:pt idx="44">
                  <c:v>0</c:v>
                </c:pt>
                <c:pt idx="45">
                  <c:v>0.167189923173128</c:v>
                </c:pt>
                <c:pt idx="46">
                  <c:v>0.16151384670359101</c:v>
                </c:pt>
                <c:pt idx="47">
                  <c:v>0.16824888333035601</c:v>
                </c:pt>
                <c:pt idx="48">
                  <c:v>0</c:v>
                </c:pt>
                <c:pt idx="49">
                  <c:v>5.6121003609853698E-2</c:v>
                </c:pt>
                <c:pt idx="50">
                  <c:v>5.5145734095144998E-2</c:v>
                </c:pt>
                <c:pt idx="51">
                  <c:v>5.6672242718788998E-2</c:v>
                </c:pt>
                <c:pt idx="52">
                  <c:v>0</c:v>
                </c:pt>
                <c:pt idx="53">
                  <c:v>5.4333640104067903E-2</c:v>
                </c:pt>
                <c:pt idx="54">
                  <c:v>5.3300771142006799E-2</c:v>
                </c:pt>
                <c:pt idx="55">
                  <c:v>5.4942907858716902E-2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E-4846-AF0B-F62954DCF48C}"/>
            </c:ext>
          </c:extLst>
        </c:ser>
        <c:ser>
          <c:idx val="1"/>
          <c:order val="1"/>
          <c:tx>
            <c:strRef>
              <c:f>'simulation-1-summary'!$C$2</c:f>
              <c:strCache>
                <c:ptCount val="1"/>
                <c:pt idx="0">
                  <c:v>Sequence 2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8F2E-4846-AF0B-F62954DCF48C}"/>
              </c:ext>
            </c:extLst>
          </c:dPt>
          <c:dPt>
            <c:idx val="4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7-8F2E-4846-AF0B-F62954DCF48C}"/>
              </c:ext>
            </c:extLst>
          </c:dPt>
          <c:dPt>
            <c:idx val="8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9-8F2E-4846-AF0B-F62954DCF48C}"/>
              </c:ext>
            </c:extLst>
          </c:dPt>
          <c:dPt>
            <c:idx val="12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B-8F2E-4846-AF0B-F62954DCF48C}"/>
              </c:ext>
            </c:extLst>
          </c:dPt>
          <c:dPt>
            <c:idx val="16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D-8F2E-4846-AF0B-F62954DCF48C}"/>
              </c:ext>
            </c:extLst>
          </c:dPt>
          <c:dPt>
            <c:idx val="20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F-8F2E-4846-AF0B-F62954DCF48C}"/>
              </c:ext>
            </c:extLst>
          </c:dPt>
          <c:dPt>
            <c:idx val="24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1-8F2E-4846-AF0B-F62954DCF48C}"/>
              </c:ext>
            </c:extLst>
          </c:dPt>
          <c:dPt>
            <c:idx val="28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3-8F2E-4846-AF0B-F62954DCF48C}"/>
              </c:ext>
            </c:extLst>
          </c:dPt>
          <c:dPt>
            <c:idx val="32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5-8F2E-4846-AF0B-F62954DCF48C}"/>
              </c:ext>
            </c:extLst>
          </c:dPt>
          <c:dPt>
            <c:idx val="36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7-8F2E-4846-AF0B-F62954DCF48C}"/>
              </c:ext>
            </c:extLst>
          </c:dPt>
          <c:dPt>
            <c:idx val="40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9-8F2E-4846-AF0B-F62954DCF48C}"/>
              </c:ext>
            </c:extLst>
          </c:dPt>
          <c:dPt>
            <c:idx val="44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B-8F2E-4846-AF0B-F62954DCF48C}"/>
              </c:ext>
            </c:extLst>
          </c:dPt>
          <c:dPt>
            <c:idx val="48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D-8F2E-4846-AF0B-F62954DCF48C}"/>
              </c:ext>
            </c:extLst>
          </c:dPt>
          <c:dPt>
            <c:idx val="52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F-8F2E-4846-AF0B-F62954DCF48C}"/>
              </c:ext>
            </c:extLst>
          </c:dPt>
          <c:cat>
            <c:strRef>
              <c:f>'simulation-1-summary'!$A$3:$A$58</c:f>
              <c:strCache>
                <c:ptCount val="56"/>
                <c:pt idx="0">
                  <c:v>SBC.CheckSOBR      -</c:v>
                </c:pt>
                <c:pt idx="1">
                  <c:v>Euclidean</c:v>
                </c:pt>
                <c:pt idx="2">
                  <c:v>Baseline</c:v>
                </c:pt>
                <c:pt idx="3">
                  <c:v>Artifact</c:v>
                </c:pt>
                <c:pt idx="4">
                  <c:v>SBC.CheckSBC      -</c:v>
                </c:pt>
                <c:pt idx="5">
                  <c:v>Euclidean</c:v>
                </c:pt>
                <c:pt idx="6">
                  <c:v>Baseline</c:v>
                </c:pt>
                <c:pt idx="7">
                  <c:v>Artifact</c:v>
                </c:pt>
                <c:pt idx="8">
                  <c:v>SBC.Reorient      -</c:v>
                </c:pt>
                <c:pt idx="9">
                  <c:v>Euclidean</c:v>
                </c:pt>
                <c:pt idx="10">
                  <c:v>Baseline</c:v>
                </c:pt>
                <c:pt idx="11">
                  <c:v>Artifact</c:v>
                </c:pt>
                <c:pt idx="12">
                  <c:v>SBC.Reposition      -</c:v>
                </c:pt>
                <c:pt idx="13">
                  <c:v>Euclidean</c:v>
                </c:pt>
                <c:pt idx="14">
                  <c:v>Baseline</c:v>
                </c:pt>
                <c:pt idx="15">
                  <c:v>Artifact</c:v>
                </c:pt>
                <c:pt idx="16">
                  <c:v>SBC.Resize      -</c:v>
                </c:pt>
                <c:pt idx="17">
                  <c:v>Euclidean</c:v>
                </c:pt>
                <c:pt idx="18">
                  <c:v>Baseline</c:v>
                </c:pt>
                <c:pt idx="19">
                  <c:v>Artifact</c:v>
                </c:pt>
                <c:pt idx="20">
                  <c:v>SBC.UpdateSimpleSize      -</c:v>
                </c:pt>
                <c:pt idx="21">
                  <c:v>Euclidean</c:v>
                </c:pt>
                <c:pt idx="22">
                  <c:v>Baseline</c:v>
                </c:pt>
                <c:pt idx="23">
                  <c:v>Artifact</c:v>
                </c:pt>
                <c:pt idx="24">
                  <c:v>SOBR.CheckSOBR      -</c:v>
                </c:pt>
                <c:pt idx="25">
                  <c:v>Euclidean</c:v>
                </c:pt>
                <c:pt idx="26">
                  <c:v>Baseline</c:v>
                </c:pt>
                <c:pt idx="27">
                  <c:v>Artifact</c:v>
                </c:pt>
                <c:pt idx="28">
                  <c:v>SOBR.CheckSBC      -</c:v>
                </c:pt>
                <c:pt idx="29">
                  <c:v>Euclidean</c:v>
                </c:pt>
                <c:pt idx="30">
                  <c:v>Baseline</c:v>
                </c:pt>
                <c:pt idx="31">
                  <c:v>Artifact</c:v>
                </c:pt>
                <c:pt idx="32">
                  <c:v>SOBR.Reorient      -</c:v>
                </c:pt>
                <c:pt idx="33">
                  <c:v>Euclidean</c:v>
                </c:pt>
                <c:pt idx="34">
                  <c:v>Baseline</c:v>
                </c:pt>
                <c:pt idx="35">
                  <c:v>Artifact</c:v>
                </c:pt>
                <c:pt idx="36">
                  <c:v>SOBR.Reposition      -</c:v>
                </c:pt>
                <c:pt idx="37">
                  <c:v>Euclidean</c:v>
                </c:pt>
                <c:pt idx="38">
                  <c:v>Baseline</c:v>
                </c:pt>
                <c:pt idx="39">
                  <c:v>Artifact</c:v>
                </c:pt>
                <c:pt idx="40">
                  <c:v>SOBR.Resize      -</c:v>
                </c:pt>
                <c:pt idx="41">
                  <c:v>Euclidean</c:v>
                </c:pt>
                <c:pt idx="42">
                  <c:v>Baseline</c:v>
                </c:pt>
                <c:pt idx="43">
                  <c:v>Artifact</c:v>
                </c:pt>
                <c:pt idx="44">
                  <c:v>SOBR.UpdateSimpleSize      -</c:v>
                </c:pt>
                <c:pt idx="45">
                  <c:v>Euclidean</c:v>
                </c:pt>
                <c:pt idx="46">
                  <c:v>Baseline</c:v>
                </c:pt>
                <c:pt idx="47">
                  <c:v>Artifact</c:v>
                </c:pt>
                <c:pt idx="48">
                  <c:v>Simple.Intersects      -</c:v>
                </c:pt>
                <c:pt idx="49">
                  <c:v>Euclidean</c:v>
                </c:pt>
                <c:pt idx="50">
                  <c:v>Baseline</c:v>
                </c:pt>
                <c:pt idx="51">
                  <c:v>Artifact</c:v>
                </c:pt>
                <c:pt idx="52">
                  <c:v>CollisionTree.Contains      -</c:v>
                </c:pt>
                <c:pt idx="53">
                  <c:v>Euclidean</c:v>
                </c:pt>
                <c:pt idx="54">
                  <c:v>Baseline</c:v>
                </c:pt>
                <c:pt idx="55">
                  <c:v>Artifact</c:v>
                </c:pt>
              </c:strCache>
            </c:strRef>
          </c:cat>
          <c:val>
            <c:numRef>
              <c:f>'simulation-1-summary'!$C$3:$C$58</c:f>
              <c:numCache>
                <c:formatCode>0.0\ "µs"</c:formatCode>
                <c:ptCount val="56"/>
                <c:pt idx="0">
                  <c:v>2</c:v>
                </c:pt>
                <c:pt idx="1">
                  <c:v>0.1179953409</c:v>
                </c:pt>
                <c:pt idx="2">
                  <c:v>0.96831688288780005</c:v>
                </c:pt>
                <c:pt idx="3">
                  <c:v>0.209521584938508</c:v>
                </c:pt>
                <c:pt idx="4">
                  <c:v>2</c:v>
                </c:pt>
                <c:pt idx="5">
                  <c:v>4.52796643174357E-2</c:v>
                </c:pt>
                <c:pt idx="6">
                  <c:v>0.104455585503146</c:v>
                </c:pt>
                <c:pt idx="7">
                  <c:v>4.0818951057391799E-2</c:v>
                </c:pt>
                <c:pt idx="8">
                  <c:v>2</c:v>
                </c:pt>
                <c:pt idx="9">
                  <c:v>0.17514092149777399</c:v>
                </c:pt>
                <c:pt idx="10">
                  <c:v>0.166175624287309</c:v>
                </c:pt>
                <c:pt idx="11">
                  <c:v>0.173531078061927</c:v>
                </c:pt>
                <c:pt idx="12">
                  <c:v>2</c:v>
                </c:pt>
                <c:pt idx="13">
                  <c:v>5.5862599174783201E-2</c:v>
                </c:pt>
                <c:pt idx="14">
                  <c:v>5.1840931645291001E-2</c:v>
                </c:pt>
                <c:pt idx="15">
                  <c:v>5.07521546275259E-2</c:v>
                </c:pt>
                <c:pt idx="16">
                  <c:v>2</c:v>
                </c:pt>
                <c:pt idx="17">
                  <c:v>3.2541626320252197E-2</c:v>
                </c:pt>
                <c:pt idx="18">
                  <c:v>3.2933440885551502E-2</c:v>
                </c:pt>
                <c:pt idx="19">
                  <c:v>3.2951448429112698E-2</c:v>
                </c:pt>
                <c:pt idx="20">
                  <c:v>2</c:v>
                </c:pt>
                <c:pt idx="21">
                  <c:v>2.5112198863821999E-2</c:v>
                </c:pt>
                <c:pt idx="22">
                  <c:v>2.4418745044485698E-2</c:v>
                </c:pt>
                <c:pt idx="23">
                  <c:v>2.43084982878214E-2</c:v>
                </c:pt>
                <c:pt idx="24">
                  <c:v>2</c:v>
                </c:pt>
                <c:pt idx="25">
                  <c:v>1.6406739903217</c:v>
                </c:pt>
                <c:pt idx="26">
                  <c:v>0.66732959135654502</c:v>
                </c:pt>
                <c:pt idx="27">
                  <c:v>0.54065375477857802</c:v>
                </c:pt>
                <c:pt idx="28">
                  <c:v>2</c:v>
                </c:pt>
                <c:pt idx="29">
                  <c:v>0.117493793368109</c:v>
                </c:pt>
                <c:pt idx="30">
                  <c:v>0.94993365688355003</c:v>
                </c:pt>
                <c:pt idx="31">
                  <c:v>0.20792539413359801</c:v>
                </c:pt>
                <c:pt idx="32">
                  <c:v>2</c:v>
                </c:pt>
                <c:pt idx="33">
                  <c:v>0.17465876616269499</c:v>
                </c:pt>
                <c:pt idx="34">
                  <c:v>0.45264216000785001</c:v>
                </c:pt>
                <c:pt idx="35">
                  <c:v>0.74433657656569596</c:v>
                </c:pt>
                <c:pt idx="36">
                  <c:v>2</c:v>
                </c:pt>
                <c:pt idx="37">
                  <c:v>5.6398004242117702E-2</c:v>
                </c:pt>
                <c:pt idx="38">
                  <c:v>5.32847578143281E-2</c:v>
                </c:pt>
                <c:pt idx="39">
                  <c:v>5.1160936285203198E-2</c:v>
                </c:pt>
                <c:pt idx="40">
                  <c:v>2</c:v>
                </c:pt>
                <c:pt idx="41">
                  <c:v>3.2980925566684999E-2</c:v>
                </c:pt>
                <c:pt idx="42">
                  <c:v>3.3325503279715597E-2</c:v>
                </c:pt>
                <c:pt idx="43">
                  <c:v>3.3164317902189801E-2</c:v>
                </c:pt>
                <c:pt idx="44">
                  <c:v>2</c:v>
                </c:pt>
                <c:pt idx="45">
                  <c:v>0.13647701934616999</c:v>
                </c:pt>
                <c:pt idx="46">
                  <c:v>0.132967685932322</c:v>
                </c:pt>
                <c:pt idx="47">
                  <c:v>0.131307553535979</c:v>
                </c:pt>
                <c:pt idx="48">
                  <c:v>2</c:v>
                </c:pt>
                <c:pt idx="49">
                  <c:v>4.48814947976117E-2</c:v>
                </c:pt>
                <c:pt idx="50">
                  <c:v>4.4877610495361299E-2</c:v>
                </c:pt>
                <c:pt idx="51">
                  <c:v>4.49792002048858E-2</c:v>
                </c:pt>
                <c:pt idx="52">
                  <c:v>2</c:v>
                </c:pt>
                <c:pt idx="53">
                  <c:v>4.7513973823703197E-2</c:v>
                </c:pt>
                <c:pt idx="54">
                  <c:v>4.7398065880617499E-2</c:v>
                </c:pt>
                <c:pt idx="55">
                  <c:v>4.7361644334714202E-2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F2E-4846-AF0B-F62954DCF48C}"/>
            </c:ext>
          </c:extLst>
        </c:ser>
        <c:ser>
          <c:idx val="2"/>
          <c:order val="2"/>
          <c:tx>
            <c:strRef>
              <c:f>'simulation-1-summary'!$D$2</c:f>
              <c:strCache>
                <c:ptCount val="1"/>
                <c:pt idx="0">
                  <c:v>Sequence 3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8F2E-4846-AF0B-F62954DCF48C}"/>
              </c:ext>
            </c:extLst>
          </c:dPt>
          <c:cat>
            <c:strRef>
              <c:f>'simulation-1-summary'!$A$3:$A$58</c:f>
              <c:strCache>
                <c:ptCount val="56"/>
                <c:pt idx="0">
                  <c:v>SBC.CheckSOBR      -</c:v>
                </c:pt>
                <c:pt idx="1">
                  <c:v>Euclidean</c:v>
                </c:pt>
                <c:pt idx="2">
                  <c:v>Baseline</c:v>
                </c:pt>
                <c:pt idx="3">
                  <c:v>Artifact</c:v>
                </c:pt>
                <c:pt idx="4">
                  <c:v>SBC.CheckSBC      -</c:v>
                </c:pt>
                <c:pt idx="5">
                  <c:v>Euclidean</c:v>
                </c:pt>
                <c:pt idx="6">
                  <c:v>Baseline</c:v>
                </c:pt>
                <c:pt idx="7">
                  <c:v>Artifact</c:v>
                </c:pt>
                <c:pt idx="8">
                  <c:v>SBC.Reorient      -</c:v>
                </c:pt>
                <c:pt idx="9">
                  <c:v>Euclidean</c:v>
                </c:pt>
                <c:pt idx="10">
                  <c:v>Baseline</c:v>
                </c:pt>
                <c:pt idx="11">
                  <c:v>Artifact</c:v>
                </c:pt>
                <c:pt idx="12">
                  <c:v>SBC.Reposition      -</c:v>
                </c:pt>
                <c:pt idx="13">
                  <c:v>Euclidean</c:v>
                </c:pt>
                <c:pt idx="14">
                  <c:v>Baseline</c:v>
                </c:pt>
                <c:pt idx="15">
                  <c:v>Artifact</c:v>
                </c:pt>
                <c:pt idx="16">
                  <c:v>SBC.Resize      -</c:v>
                </c:pt>
                <c:pt idx="17">
                  <c:v>Euclidean</c:v>
                </c:pt>
                <c:pt idx="18">
                  <c:v>Baseline</c:v>
                </c:pt>
                <c:pt idx="19">
                  <c:v>Artifact</c:v>
                </c:pt>
                <c:pt idx="20">
                  <c:v>SBC.UpdateSimpleSize      -</c:v>
                </c:pt>
                <c:pt idx="21">
                  <c:v>Euclidean</c:v>
                </c:pt>
                <c:pt idx="22">
                  <c:v>Baseline</c:v>
                </c:pt>
                <c:pt idx="23">
                  <c:v>Artifact</c:v>
                </c:pt>
                <c:pt idx="24">
                  <c:v>SOBR.CheckSOBR      -</c:v>
                </c:pt>
                <c:pt idx="25">
                  <c:v>Euclidean</c:v>
                </c:pt>
                <c:pt idx="26">
                  <c:v>Baseline</c:v>
                </c:pt>
                <c:pt idx="27">
                  <c:v>Artifact</c:v>
                </c:pt>
                <c:pt idx="28">
                  <c:v>SOBR.CheckSBC      -</c:v>
                </c:pt>
                <c:pt idx="29">
                  <c:v>Euclidean</c:v>
                </c:pt>
                <c:pt idx="30">
                  <c:v>Baseline</c:v>
                </c:pt>
                <c:pt idx="31">
                  <c:v>Artifact</c:v>
                </c:pt>
                <c:pt idx="32">
                  <c:v>SOBR.Reorient      -</c:v>
                </c:pt>
                <c:pt idx="33">
                  <c:v>Euclidean</c:v>
                </c:pt>
                <c:pt idx="34">
                  <c:v>Baseline</c:v>
                </c:pt>
                <c:pt idx="35">
                  <c:v>Artifact</c:v>
                </c:pt>
                <c:pt idx="36">
                  <c:v>SOBR.Reposition      -</c:v>
                </c:pt>
                <c:pt idx="37">
                  <c:v>Euclidean</c:v>
                </c:pt>
                <c:pt idx="38">
                  <c:v>Baseline</c:v>
                </c:pt>
                <c:pt idx="39">
                  <c:v>Artifact</c:v>
                </c:pt>
                <c:pt idx="40">
                  <c:v>SOBR.Resize      -</c:v>
                </c:pt>
                <c:pt idx="41">
                  <c:v>Euclidean</c:v>
                </c:pt>
                <c:pt idx="42">
                  <c:v>Baseline</c:v>
                </c:pt>
                <c:pt idx="43">
                  <c:v>Artifact</c:v>
                </c:pt>
                <c:pt idx="44">
                  <c:v>SOBR.UpdateSimpleSize      -</c:v>
                </c:pt>
                <c:pt idx="45">
                  <c:v>Euclidean</c:v>
                </c:pt>
                <c:pt idx="46">
                  <c:v>Baseline</c:v>
                </c:pt>
                <c:pt idx="47">
                  <c:v>Artifact</c:v>
                </c:pt>
                <c:pt idx="48">
                  <c:v>Simple.Intersects      -</c:v>
                </c:pt>
                <c:pt idx="49">
                  <c:v>Euclidean</c:v>
                </c:pt>
                <c:pt idx="50">
                  <c:v>Baseline</c:v>
                </c:pt>
                <c:pt idx="51">
                  <c:v>Artifact</c:v>
                </c:pt>
                <c:pt idx="52">
                  <c:v>CollisionTree.Contains      -</c:v>
                </c:pt>
                <c:pt idx="53">
                  <c:v>Euclidean</c:v>
                </c:pt>
                <c:pt idx="54">
                  <c:v>Baseline</c:v>
                </c:pt>
                <c:pt idx="55">
                  <c:v>Artifact</c:v>
                </c:pt>
              </c:strCache>
            </c:strRef>
          </c:cat>
          <c:val>
            <c:numRef>
              <c:f>'simulation-1-summary'!$D$3:$D$58</c:f>
              <c:numCache>
                <c:formatCode>0.0\ "µs"</c:formatCode>
                <c:ptCount val="56"/>
                <c:pt idx="1">
                  <c:v>0.1183764371</c:v>
                </c:pt>
                <c:pt idx="2">
                  <c:v>0.97358307568779701</c:v>
                </c:pt>
                <c:pt idx="3">
                  <c:v>0.21189643431723701</c:v>
                </c:pt>
                <c:pt idx="4">
                  <c:v>0</c:v>
                </c:pt>
                <c:pt idx="5">
                  <c:v>4.5093788172108198E-2</c:v>
                </c:pt>
                <c:pt idx="6">
                  <c:v>0.103923920268959</c:v>
                </c:pt>
                <c:pt idx="7">
                  <c:v>4.0870042267529702E-2</c:v>
                </c:pt>
                <c:pt idx="8">
                  <c:v>0</c:v>
                </c:pt>
                <c:pt idx="9">
                  <c:v>0.17407594822790201</c:v>
                </c:pt>
                <c:pt idx="10">
                  <c:v>0.16409889714304399</c:v>
                </c:pt>
                <c:pt idx="11">
                  <c:v>0.17318930196027099</c:v>
                </c:pt>
                <c:pt idx="12">
                  <c:v>0</c:v>
                </c:pt>
                <c:pt idx="13">
                  <c:v>5.4226740190463703E-2</c:v>
                </c:pt>
                <c:pt idx="14">
                  <c:v>5.0457931079621703E-2</c:v>
                </c:pt>
                <c:pt idx="15">
                  <c:v>5.11887292600713E-2</c:v>
                </c:pt>
                <c:pt idx="16">
                  <c:v>0</c:v>
                </c:pt>
                <c:pt idx="17">
                  <c:v>3.2319116732663501E-2</c:v>
                </c:pt>
                <c:pt idx="18">
                  <c:v>3.2083941486402499E-2</c:v>
                </c:pt>
                <c:pt idx="19">
                  <c:v>3.2357585823215601E-2</c:v>
                </c:pt>
                <c:pt idx="20">
                  <c:v>0</c:v>
                </c:pt>
                <c:pt idx="21">
                  <c:v>2.4868925287168199E-2</c:v>
                </c:pt>
                <c:pt idx="22">
                  <c:v>2.4348733514415698E-2</c:v>
                </c:pt>
                <c:pt idx="23">
                  <c:v>2.42176178944268E-2</c:v>
                </c:pt>
                <c:pt idx="24">
                  <c:v>0</c:v>
                </c:pt>
                <c:pt idx="25">
                  <c:v>1.67747851264865</c:v>
                </c:pt>
                <c:pt idx="26">
                  <c:v>0.67967991240197501</c:v>
                </c:pt>
                <c:pt idx="27">
                  <c:v>0.54606675153751405</c:v>
                </c:pt>
                <c:pt idx="28">
                  <c:v>0</c:v>
                </c:pt>
                <c:pt idx="29">
                  <c:v>0.119260848423817</c:v>
                </c:pt>
                <c:pt idx="30">
                  <c:v>0.95574498687431497</c:v>
                </c:pt>
                <c:pt idx="31">
                  <c:v>0.21016220906045899</c:v>
                </c:pt>
                <c:pt idx="32">
                  <c:v>0</c:v>
                </c:pt>
                <c:pt idx="33">
                  <c:v>0.174461788369392</c:v>
                </c:pt>
                <c:pt idx="34">
                  <c:v>0.49793849598664802</c:v>
                </c:pt>
                <c:pt idx="35">
                  <c:v>0.82636156488546297</c:v>
                </c:pt>
                <c:pt idx="36">
                  <c:v>0</c:v>
                </c:pt>
                <c:pt idx="37">
                  <c:v>5.6491336670853598E-2</c:v>
                </c:pt>
                <c:pt idx="38">
                  <c:v>5.2667237324821002E-2</c:v>
                </c:pt>
                <c:pt idx="39">
                  <c:v>5.2870742493799E-2</c:v>
                </c:pt>
                <c:pt idx="40">
                  <c:v>0</c:v>
                </c:pt>
                <c:pt idx="41">
                  <c:v>3.2953430688644703E-2</c:v>
                </c:pt>
                <c:pt idx="42">
                  <c:v>3.3322200634134602E-2</c:v>
                </c:pt>
                <c:pt idx="43">
                  <c:v>3.3404124707981299E-2</c:v>
                </c:pt>
                <c:pt idx="44">
                  <c:v>0</c:v>
                </c:pt>
                <c:pt idx="45">
                  <c:v>0.13616859428351599</c:v>
                </c:pt>
                <c:pt idx="46">
                  <c:v>0.132354883548818</c:v>
                </c:pt>
                <c:pt idx="47">
                  <c:v>0.131607143930347</c:v>
                </c:pt>
                <c:pt idx="48">
                  <c:v>0</c:v>
                </c:pt>
                <c:pt idx="49">
                  <c:v>4.1830687903383998E-2</c:v>
                </c:pt>
                <c:pt idx="50">
                  <c:v>4.18564447562862E-2</c:v>
                </c:pt>
                <c:pt idx="51">
                  <c:v>4.1816000195525498E-2</c:v>
                </c:pt>
                <c:pt idx="52">
                  <c:v>0</c:v>
                </c:pt>
                <c:pt idx="53">
                  <c:v>4.8078717076193801E-2</c:v>
                </c:pt>
                <c:pt idx="54">
                  <c:v>4.8026810426311503E-2</c:v>
                </c:pt>
                <c:pt idx="55">
                  <c:v>4.8034733173050403E-2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F2E-4846-AF0B-F62954DC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4780302"/>
        <c:axId val="1367972083"/>
      </c:barChart>
      <c:catAx>
        <c:axId val="19447803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7972083"/>
        <c:crosses val="autoZero"/>
        <c:auto val="1"/>
        <c:lblAlgn val="ctr"/>
        <c:lblOffset val="100"/>
        <c:noMultiLvlLbl val="1"/>
      </c:catAx>
      <c:valAx>
        <c:axId val="1367972083"/>
        <c:scaling>
          <c:orientation val="minMax"/>
          <c:max val="1.8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\ &quot;µs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4780302"/>
        <c:crosses val="max"/>
        <c:crossBetween val="between"/>
        <c:majorUnit val="0.2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Runtime Comparison Between the Implementations in Simulation 1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'simulation-1-summary'!$G$2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'simulation-1-summary'!$F$3:$F$22</c:f>
              <c:strCache>
                <c:ptCount val="20"/>
                <c:pt idx="0">
                  <c:v>Update phase    -</c:v>
                </c:pt>
                <c:pt idx="1">
                  <c:v>Sequence 1</c:v>
                </c:pt>
                <c:pt idx="2">
                  <c:v>Sequence 2</c:v>
                </c:pt>
                <c:pt idx="3">
                  <c:v>Sequence 3</c:v>
                </c:pt>
                <c:pt idx="4">
                  <c:v>Narrow phase    -</c:v>
                </c:pt>
                <c:pt idx="5">
                  <c:v>Sequence 1</c:v>
                </c:pt>
                <c:pt idx="6">
                  <c:v>Sequence 2</c:v>
                </c:pt>
                <c:pt idx="7">
                  <c:v>Sequence 3</c:v>
                </c:pt>
                <c:pt idx="8">
                  <c:v>Broad phase    -</c:v>
                </c:pt>
                <c:pt idx="9">
                  <c:v>Sequence 1</c:v>
                </c:pt>
                <c:pt idx="10">
                  <c:v>Sequence 2</c:v>
                </c:pt>
                <c:pt idx="11">
                  <c:v>Sequence 3</c:v>
                </c:pt>
                <c:pt idx="12">
                  <c:v>Combined</c:v>
                </c:pt>
                <c:pt idx="13">
                  <c:v>Sequence 1</c:v>
                </c:pt>
                <c:pt idx="14">
                  <c:v>Sequence 2</c:v>
                </c:pt>
                <c:pt idx="15">
                  <c:v>Sequence 3</c:v>
                </c:pt>
                <c:pt idx="16">
                  <c:v>Entire simulation    -</c:v>
                </c:pt>
                <c:pt idx="17">
                  <c:v>Sequence 1</c:v>
                </c:pt>
                <c:pt idx="18">
                  <c:v>Sequence 2</c:v>
                </c:pt>
                <c:pt idx="19">
                  <c:v>Sequence 3</c:v>
                </c:pt>
              </c:strCache>
            </c:strRef>
          </c:cat>
          <c:val>
            <c:numRef>
              <c:f>'simulation-1-summary'!$G$3:$G$22</c:f>
              <c:numCache>
                <c:formatCode>0.00%</c:formatCode>
                <c:ptCount val="20"/>
                <c:pt idx="1">
                  <c:v>0.75497773089999998</c:v>
                </c:pt>
                <c:pt idx="2">
                  <c:v>0.71546710365827071</c:v>
                </c:pt>
                <c:pt idx="3">
                  <c:v>0.69920861421451963</c:v>
                </c:pt>
                <c:pt idx="4">
                  <c:v>0</c:v>
                </c:pt>
                <c:pt idx="5">
                  <c:v>0.5146340849840878</c:v>
                </c:pt>
                <c:pt idx="6">
                  <c:v>0.61130048584579799</c:v>
                </c:pt>
                <c:pt idx="7">
                  <c:v>0.52728856084628084</c:v>
                </c:pt>
                <c:pt idx="8">
                  <c:v>0</c:v>
                </c:pt>
                <c:pt idx="9">
                  <c:v>1.0178199116702051</c:v>
                </c:pt>
                <c:pt idx="10">
                  <c:v>1.0001378277486912</c:v>
                </c:pt>
                <c:pt idx="11">
                  <c:v>0.99941519200498685</c:v>
                </c:pt>
                <c:pt idx="12">
                  <c:v>0</c:v>
                </c:pt>
                <c:pt idx="13">
                  <c:v>0.72149337845311268</c:v>
                </c:pt>
                <c:pt idx="14">
                  <c:v>0.85146293198123624</c:v>
                </c:pt>
                <c:pt idx="15">
                  <c:v>0.89822775989803116</c:v>
                </c:pt>
                <c:pt idx="16">
                  <c:v>0</c:v>
                </c:pt>
                <c:pt idx="17">
                  <c:v>1.001265765967952</c:v>
                </c:pt>
                <c:pt idx="18">
                  <c:v>0.97366611068711684</c:v>
                </c:pt>
                <c:pt idx="19">
                  <c:v>0.98267561823412897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2-45BC-9192-3A9568C85D08}"/>
            </c:ext>
          </c:extLst>
        </c:ser>
        <c:ser>
          <c:idx val="1"/>
          <c:order val="1"/>
          <c:tx>
            <c:strRef>
              <c:f>'simulation-1-summary'!$H$2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202-45BC-9192-3A9568C85D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'simulation-1-summary'!$F$3:$F$22</c:f>
              <c:strCache>
                <c:ptCount val="20"/>
                <c:pt idx="0">
                  <c:v>Update phase    -</c:v>
                </c:pt>
                <c:pt idx="1">
                  <c:v>Sequence 1</c:v>
                </c:pt>
                <c:pt idx="2">
                  <c:v>Sequence 2</c:v>
                </c:pt>
                <c:pt idx="3">
                  <c:v>Sequence 3</c:v>
                </c:pt>
                <c:pt idx="4">
                  <c:v>Narrow phase    -</c:v>
                </c:pt>
                <c:pt idx="5">
                  <c:v>Sequence 1</c:v>
                </c:pt>
                <c:pt idx="6">
                  <c:v>Sequence 2</c:v>
                </c:pt>
                <c:pt idx="7">
                  <c:v>Sequence 3</c:v>
                </c:pt>
                <c:pt idx="8">
                  <c:v>Broad phase    -</c:v>
                </c:pt>
                <c:pt idx="9">
                  <c:v>Sequence 1</c:v>
                </c:pt>
                <c:pt idx="10">
                  <c:v>Sequence 2</c:v>
                </c:pt>
                <c:pt idx="11">
                  <c:v>Sequence 3</c:v>
                </c:pt>
                <c:pt idx="12">
                  <c:v>Combined</c:v>
                </c:pt>
                <c:pt idx="13">
                  <c:v>Sequence 1</c:v>
                </c:pt>
                <c:pt idx="14">
                  <c:v>Sequence 2</c:v>
                </c:pt>
                <c:pt idx="15">
                  <c:v>Sequence 3</c:v>
                </c:pt>
                <c:pt idx="16">
                  <c:v>Entire simulation    -</c:v>
                </c:pt>
                <c:pt idx="17">
                  <c:v>Sequence 1</c:v>
                </c:pt>
                <c:pt idx="18">
                  <c:v>Sequence 2</c:v>
                </c:pt>
                <c:pt idx="19">
                  <c:v>Sequence 3</c:v>
                </c:pt>
              </c:strCache>
            </c:strRef>
          </c:cat>
          <c:val>
            <c:numRef>
              <c:f>'simulation-1-summary'!$H$3:$H$22</c:f>
              <c:numCache>
                <c:formatCode>0.00%</c:formatCode>
                <c:ptCount val="2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2-45BC-9192-3A9568C85D08}"/>
            </c:ext>
          </c:extLst>
        </c:ser>
        <c:ser>
          <c:idx val="2"/>
          <c:order val="2"/>
          <c:tx>
            <c:strRef>
              <c:f>'simulation-1-summary'!$I$2</c:f>
              <c:strCache>
                <c:ptCount val="1"/>
                <c:pt idx="0">
                  <c:v>Artifact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'simulation-1-summary'!$F$3:$F$22</c:f>
              <c:strCache>
                <c:ptCount val="20"/>
                <c:pt idx="0">
                  <c:v>Update phase    -</c:v>
                </c:pt>
                <c:pt idx="1">
                  <c:v>Sequence 1</c:v>
                </c:pt>
                <c:pt idx="2">
                  <c:v>Sequence 2</c:v>
                </c:pt>
                <c:pt idx="3">
                  <c:v>Sequence 3</c:v>
                </c:pt>
                <c:pt idx="4">
                  <c:v>Narrow phase    -</c:v>
                </c:pt>
                <c:pt idx="5">
                  <c:v>Sequence 1</c:v>
                </c:pt>
                <c:pt idx="6">
                  <c:v>Sequence 2</c:v>
                </c:pt>
                <c:pt idx="7">
                  <c:v>Sequence 3</c:v>
                </c:pt>
                <c:pt idx="8">
                  <c:v>Broad phase    -</c:v>
                </c:pt>
                <c:pt idx="9">
                  <c:v>Sequence 1</c:v>
                </c:pt>
                <c:pt idx="10">
                  <c:v>Sequence 2</c:v>
                </c:pt>
                <c:pt idx="11">
                  <c:v>Sequence 3</c:v>
                </c:pt>
                <c:pt idx="12">
                  <c:v>Combined</c:v>
                </c:pt>
                <c:pt idx="13">
                  <c:v>Sequence 1</c:v>
                </c:pt>
                <c:pt idx="14">
                  <c:v>Sequence 2</c:v>
                </c:pt>
                <c:pt idx="15">
                  <c:v>Sequence 3</c:v>
                </c:pt>
                <c:pt idx="16">
                  <c:v>Entire simulation    -</c:v>
                </c:pt>
                <c:pt idx="17">
                  <c:v>Sequence 1</c:v>
                </c:pt>
                <c:pt idx="18">
                  <c:v>Sequence 2</c:v>
                </c:pt>
                <c:pt idx="19">
                  <c:v>Sequence 3</c:v>
                </c:pt>
              </c:strCache>
            </c:strRef>
          </c:cat>
          <c:val>
            <c:numRef>
              <c:f>'simulation-1-summary'!$I$3:$I$22</c:f>
              <c:numCache>
                <c:formatCode>0.00%</c:formatCode>
                <c:ptCount val="20"/>
                <c:pt idx="1">
                  <c:v>1.2650711966058239</c:v>
                </c:pt>
                <c:pt idx="2">
                  <c:v>1.3207804294927177</c:v>
                </c:pt>
                <c:pt idx="3">
                  <c:v>1.3381934106482407</c:v>
                </c:pt>
                <c:pt idx="4">
                  <c:v>0</c:v>
                </c:pt>
                <c:pt idx="5">
                  <c:v>0.34291673607401457</c:v>
                </c:pt>
                <c:pt idx="6">
                  <c:v>0.34609215041080665</c:v>
                </c:pt>
                <c:pt idx="7">
                  <c:v>0.32550695457710149</c:v>
                </c:pt>
                <c:pt idx="8">
                  <c:v>0</c:v>
                </c:pt>
                <c:pt idx="9">
                  <c:v>1.027930031344239</c:v>
                </c:pt>
                <c:pt idx="10">
                  <c:v>1.0021977966483335</c:v>
                </c:pt>
                <c:pt idx="11">
                  <c:v>0.99905410916528625</c:v>
                </c:pt>
                <c:pt idx="12">
                  <c:v>0</c:v>
                </c:pt>
                <c:pt idx="13">
                  <c:v>0.64932838872096088</c:v>
                </c:pt>
                <c:pt idx="14">
                  <c:v>0.76142039374988668</c:v>
                </c:pt>
                <c:pt idx="15">
                  <c:v>0.86483877315533697</c:v>
                </c:pt>
                <c:pt idx="16">
                  <c:v>0</c:v>
                </c:pt>
                <c:pt idx="17">
                  <c:v>1.0006104403249696</c:v>
                </c:pt>
                <c:pt idx="18">
                  <c:v>0.9460397227898274</c:v>
                </c:pt>
                <c:pt idx="19">
                  <c:v>0.97288961794648932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02-45BC-9192-3A9568C85D08}"/>
            </c:ext>
          </c:extLst>
        </c:ser>
        <c:ser>
          <c:idx val="3"/>
          <c:order val="3"/>
          <c:tx>
            <c:strRef>
              <c:f>'simulation-1-summary'!$J$2</c:f>
              <c:strCache>
                <c:ptCount val="1"/>
              </c:strCache>
            </c:strRef>
          </c:tx>
          <c:spPr>
            <a:solidFill>
              <a:srgbClr val="FFFFFF"/>
            </a:solidFill>
            <a:ln w="9525" cmpd="sng">
              <a:noFill/>
            </a:ln>
          </c:spPr>
          <c:invertIfNegative val="0"/>
          <c:cat>
            <c:strRef>
              <c:f>'simulation-1-summary'!$F$3:$F$22</c:f>
              <c:strCache>
                <c:ptCount val="20"/>
                <c:pt idx="0">
                  <c:v>Update phase    -</c:v>
                </c:pt>
                <c:pt idx="1">
                  <c:v>Sequence 1</c:v>
                </c:pt>
                <c:pt idx="2">
                  <c:v>Sequence 2</c:v>
                </c:pt>
                <c:pt idx="3">
                  <c:v>Sequence 3</c:v>
                </c:pt>
                <c:pt idx="4">
                  <c:v>Narrow phase    -</c:v>
                </c:pt>
                <c:pt idx="5">
                  <c:v>Sequence 1</c:v>
                </c:pt>
                <c:pt idx="6">
                  <c:v>Sequence 2</c:v>
                </c:pt>
                <c:pt idx="7">
                  <c:v>Sequence 3</c:v>
                </c:pt>
                <c:pt idx="8">
                  <c:v>Broad phase    -</c:v>
                </c:pt>
                <c:pt idx="9">
                  <c:v>Sequence 1</c:v>
                </c:pt>
                <c:pt idx="10">
                  <c:v>Sequence 2</c:v>
                </c:pt>
                <c:pt idx="11">
                  <c:v>Sequence 3</c:v>
                </c:pt>
                <c:pt idx="12">
                  <c:v>Combined</c:v>
                </c:pt>
                <c:pt idx="13">
                  <c:v>Sequence 1</c:v>
                </c:pt>
                <c:pt idx="14">
                  <c:v>Sequence 2</c:v>
                </c:pt>
                <c:pt idx="15">
                  <c:v>Sequence 3</c:v>
                </c:pt>
                <c:pt idx="16">
                  <c:v>Entire simulation    -</c:v>
                </c:pt>
                <c:pt idx="17">
                  <c:v>Sequence 1</c:v>
                </c:pt>
                <c:pt idx="18">
                  <c:v>Sequence 2</c:v>
                </c:pt>
                <c:pt idx="19">
                  <c:v>Sequence 3</c:v>
                </c:pt>
              </c:strCache>
            </c:strRef>
          </c:cat>
          <c:val>
            <c:numRef>
              <c:f>'simulation-1-summary'!$J$3:$J$22</c:f>
              <c:numCache>
                <c:formatCode>0.00%</c:formatCode>
                <c:ptCount val="20"/>
                <c:pt idx="0">
                  <c:v>2</c:v>
                </c:pt>
                <c:pt idx="4" formatCode="0%">
                  <c:v>2</c:v>
                </c:pt>
                <c:pt idx="8" formatCode="0%">
                  <c:v>2</c:v>
                </c:pt>
                <c:pt idx="12" formatCode="0%">
                  <c:v>2</c:v>
                </c:pt>
                <c:pt idx="16" formatCode="0%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02-45BC-9192-3A9568C85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301452"/>
        <c:axId val="472300877"/>
      </c:barChart>
      <c:catAx>
        <c:axId val="12753014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2300877"/>
        <c:crosses val="autoZero"/>
        <c:auto val="1"/>
        <c:lblAlgn val="ctr"/>
        <c:lblOffset val="100"/>
        <c:noMultiLvlLbl val="1"/>
      </c:catAx>
      <c:valAx>
        <c:axId val="472300877"/>
        <c:scaling>
          <c:orientation val="minMax"/>
          <c:max val="1.4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530145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Euclidean Precision and Recall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'simulation-1-summary'!$B$69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'simulation-1-summary'!$A$70:$A$72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'simulation-1-summary'!$B$70:$B$72</c:f>
              <c:numCache>
                <c:formatCode>General</c:formatCode>
                <c:ptCount val="3"/>
                <c:pt idx="0">
                  <c:v>0.92431240000000003</c:v>
                </c:pt>
                <c:pt idx="1">
                  <c:v>0.9866608</c:v>
                </c:pt>
                <c:pt idx="2">
                  <c:v>0.99597910000000001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6-4296-9213-1EAD96764B14}"/>
            </c:ext>
          </c:extLst>
        </c:ser>
        <c:ser>
          <c:idx val="1"/>
          <c:order val="1"/>
          <c:tx>
            <c:strRef>
              <c:f>'simulation-1-summary'!$C$69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'simulation-1-summary'!$A$70:$A$72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'simulation-1-summary'!$C$70:$C$72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0.99999919999999998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6-4296-9213-1EAD96764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192311"/>
        <c:axId val="648289096"/>
      </c:barChart>
      <c:catAx>
        <c:axId val="542192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8289096"/>
        <c:crosses val="autoZero"/>
        <c:auto val="1"/>
        <c:lblAlgn val="ctr"/>
        <c:lblOffset val="100"/>
        <c:noMultiLvlLbl val="1"/>
      </c:catAx>
      <c:valAx>
        <c:axId val="648289096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21923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Artifact F1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'simulation-1-summary'!$B$63</c:f>
              <c:strCache>
                <c:ptCount val="1"/>
                <c:pt idx="0">
                  <c:v>Sequence 1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'simulation-1-summary'!$A$64:$A$67</c:f>
              <c:strCache>
                <c:ptCount val="4"/>
                <c:pt idx="0">
                  <c:v>SBC-SBC</c:v>
                </c:pt>
                <c:pt idx="1">
                  <c:v>SBC-SOBR</c:v>
                </c:pt>
                <c:pt idx="2">
                  <c:v>SOBR-SOBR</c:v>
                </c:pt>
                <c:pt idx="3">
                  <c:v>all</c:v>
                </c:pt>
              </c:strCache>
            </c:strRef>
          </c:cat>
          <c:val>
            <c:numRef>
              <c:f>'simulation-1-summary'!$B$64:$B$67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2-4983-B3D1-FEF80F90BB41}"/>
            </c:ext>
          </c:extLst>
        </c:ser>
        <c:ser>
          <c:idx val="1"/>
          <c:order val="1"/>
          <c:tx>
            <c:strRef>
              <c:f>'simulation-1-summary'!$C$63</c:f>
              <c:strCache>
                <c:ptCount val="1"/>
                <c:pt idx="0">
                  <c:v>Sequence 2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'simulation-1-summary'!$A$64:$A$67</c:f>
              <c:strCache>
                <c:ptCount val="4"/>
                <c:pt idx="0">
                  <c:v>SBC-SBC</c:v>
                </c:pt>
                <c:pt idx="1">
                  <c:v>SBC-SOBR</c:v>
                </c:pt>
                <c:pt idx="2">
                  <c:v>SOBR-SOBR</c:v>
                </c:pt>
                <c:pt idx="3">
                  <c:v>all</c:v>
                </c:pt>
              </c:strCache>
            </c:strRef>
          </c:cat>
          <c:val>
            <c:numRef>
              <c:f>'simulation-1-summary'!$C$64:$C$67</c:f>
              <c:numCache>
                <c:formatCode>General</c:formatCode>
                <c:ptCount val="4"/>
                <c:pt idx="0">
                  <c:v>0.99999899999999997</c:v>
                </c:pt>
                <c:pt idx="1">
                  <c:v>0.99999740000000004</c:v>
                </c:pt>
                <c:pt idx="2">
                  <c:v>0.99999970000000005</c:v>
                </c:pt>
                <c:pt idx="3">
                  <c:v>0.99999850000000001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2-4983-B3D1-FEF80F90BB41}"/>
            </c:ext>
          </c:extLst>
        </c:ser>
        <c:ser>
          <c:idx val="2"/>
          <c:order val="2"/>
          <c:tx>
            <c:strRef>
              <c:f>'simulation-1-summary'!$D$63</c:f>
              <c:strCache>
                <c:ptCount val="1"/>
                <c:pt idx="0">
                  <c:v>Sequence 3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'simulation-1-summary'!$A$64:$A$67</c:f>
              <c:strCache>
                <c:ptCount val="4"/>
                <c:pt idx="0">
                  <c:v>SBC-SBC</c:v>
                </c:pt>
                <c:pt idx="1">
                  <c:v>SBC-SOBR</c:v>
                </c:pt>
                <c:pt idx="2">
                  <c:v>SOBR-SOBR</c:v>
                </c:pt>
                <c:pt idx="3">
                  <c:v>all</c:v>
                </c:pt>
              </c:strCache>
            </c:strRef>
          </c:cat>
          <c:val>
            <c:numRef>
              <c:f>'simulation-1-summary'!$D$64:$D$67</c:f>
              <c:numCache>
                <c:formatCode>General</c:formatCode>
                <c:ptCount val="4"/>
                <c:pt idx="0">
                  <c:v>0.99999610000000005</c:v>
                </c:pt>
                <c:pt idx="1">
                  <c:v>0.99998719999999996</c:v>
                </c:pt>
                <c:pt idx="2">
                  <c:v>0.99999930000000004</c:v>
                </c:pt>
                <c:pt idx="3">
                  <c:v>0.99999229999999995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2-4983-B3D1-FEF80F90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45746"/>
        <c:axId val="602510815"/>
      </c:barChart>
      <c:catAx>
        <c:axId val="503245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2510815"/>
        <c:crosses val="autoZero"/>
        <c:auto val="1"/>
        <c:lblAlgn val="ctr"/>
        <c:lblOffset val="100"/>
        <c:noMultiLvlLbl val="1"/>
      </c:catAx>
      <c:valAx>
        <c:axId val="602510815"/>
        <c:scaling>
          <c:orientation val="minMax"/>
          <c:max val="1"/>
          <c:min val="0.9999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32457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Euclidean F1 Score</a:t>
            </a:r>
          </a:p>
        </c:rich>
      </c:tx>
      <c:layout>
        <c:manualLayout>
          <c:xMode val="edge"/>
          <c:yMode val="edge"/>
          <c:x val="3.0916666666666669E-2"/>
          <c:y val="5.269541778975741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'simulation-1-summary'!$G$63</c:f>
              <c:strCache>
                <c:ptCount val="1"/>
                <c:pt idx="0">
                  <c:v>Sequence 1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'simulation-1-summary'!$F$64:$F$67</c:f>
              <c:strCache>
                <c:ptCount val="4"/>
                <c:pt idx="0">
                  <c:v>SBC-SBC</c:v>
                </c:pt>
                <c:pt idx="1">
                  <c:v>SBC-SOBR</c:v>
                </c:pt>
                <c:pt idx="2">
                  <c:v>SOBR-SOBR</c:v>
                </c:pt>
                <c:pt idx="3">
                  <c:v>all</c:v>
                </c:pt>
              </c:strCache>
            </c:strRef>
          </c:cat>
          <c:val>
            <c:numRef>
              <c:f>'simulation-1-summary'!$G$64:$G$67</c:f>
              <c:numCache>
                <c:formatCode>General</c:formatCode>
                <c:ptCount val="4"/>
                <c:pt idx="0">
                  <c:v>0.90399499999999999</c:v>
                </c:pt>
                <c:pt idx="1">
                  <c:v>0.98425499999999999</c:v>
                </c:pt>
                <c:pt idx="2">
                  <c:v>0.98675860000000004</c:v>
                </c:pt>
                <c:pt idx="3">
                  <c:v>0.96066770000000001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C-4A50-B6B8-C260CE60454A}"/>
            </c:ext>
          </c:extLst>
        </c:ser>
        <c:ser>
          <c:idx val="1"/>
          <c:order val="1"/>
          <c:tx>
            <c:strRef>
              <c:f>'simulation-1-summary'!$H$63</c:f>
              <c:strCache>
                <c:ptCount val="1"/>
                <c:pt idx="0">
                  <c:v>Sequence 2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'simulation-1-summary'!$F$64:$F$67</c:f>
              <c:strCache>
                <c:ptCount val="4"/>
                <c:pt idx="0">
                  <c:v>SBC-SBC</c:v>
                </c:pt>
                <c:pt idx="1">
                  <c:v>SBC-SOBR</c:v>
                </c:pt>
                <c:pt idx="2">
                  <c:v>SOBR-SOBR</c:v>
                </c:pt>
                <c:pt idx="3">
                  <c:v>all</c:v>
                </c:pt>
              </c:strCache>
            </c:strRef>
          </c:cat>
          <c:val>
            <c:numRef>
              <c:f>'simulation-1-summary'!$H$64:$H$67</c:f>
              <c:numCache>
                <c:formatCode>General</c:formatCode>
                <c:ptCount val="4"/>
                <c:pt idx="0">
                  <c:v>0.98628899999999997</c:v>
                </c:pt>
                <c:pt idx="1">
                  <c:v>0.99633340000000004</c:v>
                </c:pt>
                <c:pt idx="2">
                  <c:v>0.99588560000000004</c:v>
                </c:pt>
                <c:pt idx="3">
                  <c:v>0.99328570000000005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C-4A50-B6B8-C260CE60454A}"/>
            </c:ext>
          </c:extLst>
        </c:ser>
        <c:ser>
          <c:idx val="2"/>
          <c:order val="2"/>
          <c:tx>
            <c:strRef>
              <c:f>'simulation-1-summary'!$I$63</c:f>
              <c:strCache>
                <c:ptCount val="1"/>
                <c:pt idx="0">
                  <c:v>Sequence 3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'simulation-1-summary'!$F$64:$F$67</c:f>
              <c:strCache>
                <c:ptCount val="4"/>
                <c:pt idx="0">
                  <c:v>SBC-SBC</c:v>
                </c:pt>
                <c:pt idx="1">
                  <c:v>SBC-SOBR</c:v>
                </c:pt>
                <c:pt idx="2">
                  <c:v>SOBR-SOBR</c:v>
                </c:pt>
                <c:pt idx="3">
                  <c:v>all</c:v>
                </c:pt>
              </c:strCache>
            </c:strRef>
          </c:cat>
          <c:val>
            <c:numRef>
              <c:f>'simulation-1-summary'!$I$64:$I$67</c:f>
              <c:numCache>
                <c:formatCode>General</c:formatCode>
                <c:ptCount val="4"/>
                <c:pt idx="0">
                  <c:v>0.99667380000000005</c:v>
                </c:pt>
                <c:pt idx="1">
                  <c:v>0.99868400000000002</c:v>
                </c:pt>
                <c:pt idx="2">
                  <c:v>0.99881799999999998</c:v>
                </c:pt>
                <c:pt idx="3">
                  <c:v>0.99798509999999996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C-4A50-B6B8-C260CE604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6073129"/>
        <c:axId val="955905431"/>
      </c:barChart>
      <c:catAx>
        <c:axId val="1846073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5905431"/>
        <c:crosses val="autoZero"/>
        <c:auto val="1"/>
        <c:lblAlgn val="ctr"/>
        <c:lblOffset val="100"/>
        <c:noMultiLvlLbl val="1"/>
      </c:catAx>
      <c:valAx>
        <c:axId val="955905431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60731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Narrow Phase Runtime Comparison Between the Implementations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'simulation-1-summary'!$AQ$7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'simulation-1-summary'!$AO$8:$AO$10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'simulation-1-summary'!$AQ$8:$AQ$10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4-445E-AA17-C0549EB79645}"/>
            </c:ext>
          </c:extLst>
        </c:ser>
        <c:ser>
          <c:idx val="1"/>
          <c:order val="1"/>
          <c:tx>
            <c:strRef>
              <c:f>'simulation-1-summary'!$AR$7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2F4-445E-AA17-C0549EB796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'simulation-1-summary'!$AO$8:$AO$10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'simulation-1-summary'!$AR$8:$AR$10</c:f>
              <c:numCache>
                <c:formatCode>0.00%</c:formatCode>
                <c:ptCount val="3"/>
                <c:pt idx="0">
                  <c:v>0.34291673607401457</c:v>
                </c:pt>
                <c:pt idx="1">
                  <c:v>0.34609215041080665</c:v>
                </c:pt>
                <c:pt idx="2">
                  <c:v>0.32550695457710149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4-445E-AA17-C0549EB7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876242"/>
        <c:axId val="540480388"/>
      </c:barChart>
      <c:catAx>
        <c:axId val="12638762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0480388"/>
        <c:crosses val="autoZero"/>
        <c:auto val="1"/>
        <c:lblAlgn val="ctr"/>
        <c:lblOffset val="100"/>
        <c:noMultiLvlLbl val="1"/>
      </c:catAx>
      <c:valAx>
        <c:axId val="540480388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3876242"/>
        <c:crosses val="max"/>
        <c:crossBetween val="between"/>
        <c:majorUnit val="0.2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Combined Runtime Comparison Between the Implementations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'simulation-1-summary'!$AQ$13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'simulation-1-summary'!$AO$14:$AO$16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'simulation-1-summary'!$AQ$14:$AQ$16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6-42C0-AEFD-A6AE3010B1C7}"/>
            </c:ext>
          </c:extLst>
        </c:ser>
        <c:ser>
          <c:idx val="1"/>
          <c:order val="1"/>
          <c:tx>
            <c:strRef>
              <c:f>'simulation-1-summary'!$AR$13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36B6-42C0-AEFD-A6AE3010B1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'simulation-1-summary'!$AO$14:$AO$16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'simulation-1-summary'!$AR$14:$AR$16</c:f>
              <c:numCache>
                <c:formatCode>0.00%</c:formatCode>
                <c:ptCount val="3"/>
                <c:pt idx="0">
                  <c:v>0.64932838872096088</c:v>
                </c:pt>
                <c:pt idx="1">
                  <c:v>0.76142039374988668</c:v>
                </c:pt>
                <c:pt idx="2">
                  <c:v>0.86483877315533697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6-42C0-AEFD-A6AE3010B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330263"/>
        <c:axId val="2093707739"/>
      </c:barChart>
      <c:catAx>
        <c:axId val="6443302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3707739"/>
        <c:crosses val="autoZero"/>
        <c:auto val="1"/>
        <c:lblAlgn val="ctr"/>
        <c:lblOffset val="100"/>
        <c:noMultiLvlLbl val="1"/>
      </c:catAx>
      <c:valAx>
        <c:axId val="2093707739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4330263"/>
        <c:crosses val="max"/>
        <c:crossBetween val="between"/>
        <c:majorUnit val="0.2"/>
        <c:min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Update Phase Runtime Comparison Between the Implementations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'simulation-1-summary'!$AQ$2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'simulation-1-summary'!$AO$3:$AO$5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'simulation-1-summary'!$AQ$3:$AQ$5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8-4F30-8EDC-411EC30F2BBB}"/>
            </c:ext>
          </c:extLst>
        </c:ser>
        <c:ser>
          <c:idx val="1"/>
          <c:order val="1"/>
          <c:tx>
            <c:strRef>
              <c:f>'simulation-1-summary'!$AR$2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668-4F30-8EDC-411EC30F2B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'simulation-1-summary'!$AO$3:$AO$5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'simulation-1-summary'!$AR$3:$AR$5</c:f>
              <c:numCache>
                <c:formatCode>0.00%</c:formatCode>
                <c:ptCount val="3"/>
                <c:pt idx="0">
                  <c:v>1.2650711966058239</c:v>
                </c:pt>
                <c:pt idx="1">
                  <c:v>1.3207804294927177</c:v>
                </c:pt>
                <c:pt idx="2">
                  <c:v>1.3381934106482407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8-4F30-8EDC-411EC30F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419184"/>
        <c:axId val="28443227"/>
      </c:barChart>
      <c:catAx>
        <c:axId val="21384191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443227"/>
        <c:crosses val="autoZero"/>
        <c:auto val="1"/>
        <c:lblAlgn val="ctr"/>
        <c:lblOffset val="100"/>
        <c:noMultiLvlLbl val="1"/>
      </c:catAx>
      <c:valAx>
        <c:axId val="28443227"/>
        <c:scaling>
          <c:orientation val="minMax"/>
          <c:max val="1.2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8419184"/>
        <c:crosses val="max"/>
        <c:crossBetween val="between"/>
        <c:majorUnit val="0.19999999999999998"/>
        <c:minorUnit val="9.9999999999999992E-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 for Sequence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'sequence-1-simulation-2'!$B$19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'sequence-1-simulation-2'!$A$20:$A$33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'sequence-1-simulation-2'!$B$20:$B$33</c:f>
              <c:numCache>
                <c:formatCode>0.00000\ "µs"</c:formatCode>
                <c:ptCount val="14"/>
                <c:pt idx="0">
                  <c:v>1.00350742803228</c:v>
                </c:pt>
                <c:pt idx="1">
                  <c:v>0.11322795714058601</c:v>
                </c:pt>
                <c:pt idx="2">
                  <c:v>0.191154919066825</c:v>
                </c:pt>
                <c:pt idx="3">
                  <c:v>6.3990867255379294E-2</c:v>
                </c:pt>
                <c:pt idx="4">
                  <c:v>3.8399815212949301E-2</c:v>
                </c:pt>
                <c:pt idx="5">
                  <c:v>2.7813827046427701E-2</c:v>
                </c:pt>
                <c:pt idx="6">
                  <c:v>0.72986054205231199</c:v>
                </c:pt>
                <c:pt idx="7">
                  <c:v>1.0697312346454599</c:v>
                </c:pt>
                <c:pt idx="8">
                  <c:v>0.47260603894943698</c:v>
                </c:pt>
                <c:pt idx="9">
                  <c:v>8.5024477398606399E-2</c:v>
                </c:pt>
                <c:pt idx="10">
                  <c:v>4.7807754154011103E-2</c:v>
                </c:pt>
                <c:pt idx="11">
                  <c:v>0.16151384670359101</c:v>
                </c:pt>
                <c:pt idx="12">
                  <c:v>5.5145734095144998E-2</c:v>
                </c:pt>
                <c:pt idx="13">
                  <c:v>5.3300771142006799E-2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2-48AA-8C69-D174CEC435EC}"/>
            </c:ext>
          </c:extLst>
        </c:ser>
        <c:ser>
          <c:idx val="1"/>
          <c:order val="1"/>
          <c:tx>
            <c:strRef>
              <c:f>'sequence-1-simulation-2'!$C$19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'sequence-1-simulation-2'!$A$20:$A$33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'sequence-1-simulation-2'!$C$20:$C$33</c:f>
              <c:numCache>
                <c:formatCode>0.00000\ "µs"</c:formatCode>
                <c:ptCount val="14"/>
                <c:pt idx="0">
                  <c:v>0.22765430292265301</c:v>
                </c:pt>
                <c:pt idx="1">
                  <c:v>4.01752334865337E-2</c:v>
                </c:pt>
                <c:pt idx="2">
                  <c:v>0.18932055222899399</c:v>
                </c:pt>
                <c:pt idx="3">
                  <c:v>6.1792434391713003E-2</c:v>
                </c:pt>
                <c:pt idx="4">
                  <c:v>3.8403013450365099E-2</c:v>
                </c:pt>
                <c:pt idx="5">
                  <c:v>2.8288765302677599E-2</c:v>
                </c:pt>
                <c:pt idx="6">
                  <c:v>0.59224601840213698</c:v>
                </c:pt>
                <c:pt idx="7">
                  <c:v>0.24099057517299799</c:v>
                </c:pt>
                <c:pt idx="8">
                  <c:v>0.72315061640164402</c:v>
                </c:pt>
                <c:pt idx="9">
                  <c:v>7.31936751831338E-2</c:v>
                </c:pt>
                <c:pt idx="10">
                  <c:v>4.70964802572807E-2</c:v>
                </c:pt>
                <c:pt idx="11">
                  <c:v>0.16493693049848099</c:v>
                </c:pt>
                <c:pt idx="12">
                  <c:v>5.5080596910249101E-2</c:v>
                </c:pt>
                <c:pt idx="13">
                  <c:v>5.3106627418746701E-2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2-48AA-8C69-D174CEC435EC}"/>
            </c:ext>
          </c:extLst>
        </c:ser>
        <c:ser>
          <c:idx val="2"/>
          <c:order val="2"/>
          <c:tx>
            <c:strRef>
              <c:f>'sequence-1-simulation-2'!$D$19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'sequence-1-simulation-2'!$A$20:$A$33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'sequence-1-simulation-2'!$D$20:$D$33</c:f>
              <c:numCache>
                <c:formatCode>0.00000\ "µs"</c:formatCode>
                <c:ptCount val="14"/>
                <c:pt idx="0">
                  <c:v>0.197882462388938</c:v>
                </c:pt>
                <c:pt idx="1">
                  <c:v>4.09994630344412E-2</c:v>
                </c:pt>
                <c:pt idx="2">
                  <c:v>0.19376219328014799</c:v>
                </c:pt>
                <c:pt idx="3">
                  <c:v>5.62898669177875E-2</c:v>
                </c:pt>
                <c:pt idx="4">
                  <c:v>3.9155843002078902E-2</c:v>
                </c:pt>
                <c:pt idx="5">
                  <c:v>4.3793109575167501E-2</c:v>
                </c:pt>
                <c:pt idx="6">
                  <c:v>0.67623132712461698</c:v>
                </c:pt>
                <c:pt idx="7">
                  <c:v>0.213466346373059</c:v>
                </c:pt>
                <c:pt idx="8">
                  <c:v>0.711469179917813</c:v>
                </c:pt>
                <c:pt idx="9">
                  <c:v>6.2338395569054801E-2</c:v>
                </c:pt>
                <c:pt idx="10">
                  <c:v>4.6935679828479501E-2</c:v>
                </c:pt>
                <c:pt idx="11">
                  <c:v>0.16133375022333399</c:v>
                </c:pt>
                <c:pt idx="12">
                  <c:v>4.69811418706962E-2</c:v>
                </c:pt>
                <c:pt idx="13">
                  <c:v>6.2332448962195801E-2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2-48AA-8C69-D174CEC4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4251206"/>
        <c:axId val="218969468"/>
      </c:barChart>
      <c:catAx>
        <c:axId val="1274251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8969468"/>
        <c:crosses val="autoZero"/>
        <c:auto val="1"/>
        <c:lblAlgn val="ctr"/>
        <c:lblOffset val="100"/>
        <c:noMultiLvlLbl val="1"/>
      </c:catAx>
      <c:valAx>
        <c:axId val="218969468"/>
        <c:scaling>
          <c:orientation val="minMax"/>
          <c:max val="1.3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&quot; μs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42512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Method Runtime Breakdown for Sequence 1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'sequence-1-simulation-2'!$S$19</c:f>
              <c:strCache>
                <c:ptCount val="1"/>
                <c:pt idx="0">
                  <c:v>Simple.Intersects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'sequence-1-simulation-2'!$S$20:$S$22</c:f>
              <c:numCache>
                <c:formatCode>0.00000\ "s"</c:formatCode>
                <c:ptCount val="3"/>
                <c:pt idx="0">
                  <c:v>5.2699154999999998</c:v>
                </c:pt>
                <c:pt idx="1">
                  <c:v>4.1907484999999998</c:v>
                </c:pt>
                <c:pt idx="2">
                  <c:v>3.4796026000000002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1-455C-A5FD-431AEE5A871E}"/>
            </c:ext>
          </c:extLst>
        </c:ser>
        <c:ser>
          <c:idx val="1"/>
          <c:order val="1"/>
          <c:tx>
            <c:strRef>
              <c:f>'sequence-1-simulation-2'!$T$19</c:f>
              <c:strCache>
                <c:ptCount val="1"/>
                <c:pt idx="0">
                  <c:v>CollisionTree.Contains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'sequence-1-simulation-2'!$T$20:$T$22</c:f>
              <c:numCache>
                <c:formatCode>0.00000\ "s"</c:formatCode>
                <c:ptCount val="3"/>
                <c:pt idx="0">
                  <c:v>0.4552195</c:v>
                </c:pt>
                <c:pt idx="1">
                  <c:v>0.4535614</c:v>
                </c:pt>
                <c:pt idx="2">
                  <c:v>0.32760140000000004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1-455C-A5FD-431AEE5A871E}"/>
            </c:ext>
          </c:extLst>
        </c:ser>
        <c:ser>
          <c:idx val="2"/>
          <c:order val="2"/>
          <c:tx>
            <c:strRef>
              <c:f>'sequence-1-simulation-2'!$G$19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'sequence-1-simulation-2'!$G$20:$G$22</c:f>
              <c:numCache>
                <c:formatCode>0.00000\ "s"</c:formatCode>
                <c:ptCount val="3"/>
                <c:pt idx="0">
                  <c:v>4.3479729000000003</c:v>
                </c:pt>
                <c:pt idx="1">
                  <c:v>0.98637509999999995</c:v>
                </c:pt>
                <c:pt idx="2">
                  <c:v>0.589198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1-455C-A5FD-431AEE5A871E}"/>
            </c:ext>
          </c:extLst>
        </c:ser>
        <c:ser>
          <c:idx val="3"/>
          <c:order val="3"/>
          <c:tx>
            <c:strRef>
              <c:f>'sequence-1-simulation-2'!$H$19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'sequence-1-simulation-2'!$H$20:$H$22</c:f>
              <c:numCache>
                <c:formatCode>0.00000\ "s"</c:formatCode>
                <c:ptCount val="3"/>
                <c:pt idx="0">
                  <c:v>0.43442509999999995</c:v>
                </c:pt>
                <c:pt idx="1">
                  <c:v>0.78259330000000005</c:v>
                </c:pt>
                <c:pt idx="2">
                  <c:v>0.6726023000000001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A1-455C-A5FD-431AEE5A871E}"/>
            </c:ext>
          </c:extLst>
        </c:ser>
        <c:ser>
          <c:idx val="4"/>
          <c:order val="4"/>
          <c:tx>
            <c:strRef>
              <c:f>'sequence-1-simulation-2'!$M$19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'sequence-1-simulation-2'!$M$20:$M$22</c:f>
              <c:numCache>
                <c:formatCode>0.00000\ "s"</c:formatCode>
                <c:ptCount val="3"/>
                <c:pt idx="0">
                  <c:v>1.3413596000000001</c:v>
                </c:pt>
                <c:pt idx="1">
                  <c:v>1.0884475</c:v>
                </c:pt>
                <c:pt idx="2">
                  <c:v>1.4834418999999999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A1-455C-A5FD-431AEE5A871E}"/>
            </c:ext>
          </c:extLst>
        </c:ser>
        <c:ser>
          <c:idx val="5"/>
          <c:order val="5"/>
          <c:tx>
            <c:strRef>
              <c:f>'sequence-1-simulation-2'!$N$19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'sequence-1-simulation-2'!$N$20:$N$22</c:f>
              <c:numCache>
                <c:formatCode>0.00000\ "s"</c:formatCode>
                <c:ptCount val="3"/>
                <c:pt idx="0">
                  <c:v>2.1762762000000002</c:v>
                </c:pt>
                <c:pt idx="1">
                  <c:v>0.49027459999999995</c:v>
                </c:pt>
                <c:pt idx="2">
                  <c:v>0.44475819999999999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A1-455C-A5FD-431AEE5A871E}"/>
            </c:ext>
          </c:extLst>
        </c:ser>
        <c:ser>
          <c:idx val="6"/>
          <c:order val="6"/>
          <c:tx>
            <c:strRef>
              <c:f>'sequence-1-simulation-2'!$U$19</c:f>
              <c:strCache>
                <c:ptCount val="1"/>
                <c:pt idx="0">
                  <c:v>Update phase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'sequence-1-simulation-2'!$U$20:$U$22</c:f>
              <c:numCache>
                <c:formatCode>0.00000\ "s"</c:formatCode>
                <c:ptCount val="3"/>
                <c:pt idx="0">
                  <c:v>0.61012739999999988</c:v>
                </c:pt>
                <c:pt idx="1">
                  <c:v>0.7432527000000001</c:v>
                </c:pt>
                <c:pt idx="2">
                  <c:v>0.7370848000000001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A1-455C-A5FD-431AEE5A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029051"/>
        <c:axId val="2010424051"/>
      </c:barChart>
      <c:catAx>
        <c:axId val="1890290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0424051"/>
        <c:crosses val="autoZero"/>
        <c:auto val="1"/>
        <c:lblAlgn val="ctr"/>
        <c:lblOffset val="100"/>
        <c:noMultiLvlLbl val="1"/>
      </c:catAx>
      <c:valAx>
        <c:axId val="2010424051"/>
        <c:scaling>
          <c:orientation val="minMax"/>
          <c:max val="15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Runtime (s)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029051"/>
        <c:crosses val="max"/>
        <c:crossBetween val="between"/>
        <c:majorUnit val="5"/>
        <c:minorUnit val="1"/>
      </c:valAx>
    </c:plotArea>
    <c:legend>
      <c:legendPos val="t"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Runtime Comparison of the Implementations in Sequence 1</a:t>
            </a:r>
          </a:p>
        </c:rich>
      </c:tx>
      <c:layout>
        <c:manualLayout>
          <c:xMode val="edge"/>
          <c:yMode val="edge"/>
          <c:x val="4.6008836524300441E-2"/>
          <c:y val="5.2518891687657436E-2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'sequence-1-simulation-2'!$S$24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'sequence-1-simulation-2'!$S$25:$S$29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C-4032-B70C-7DA6A0DB2A2C}"/>
            </c:ext>
          </c:extLst>
        </c:ser>
        <c:ser>
          <c:idx val="1"/>
          <c:order val="1"/>
          <c:tx>
            <c:strRef>
              <c:f>'sequence-1-simulation-2'!$T$24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'sequence-1-simulation-2'!$T$25:$T$29</c:f>
              <c:numCache>
                <c:formatCode>0.00%</c:formatCode>
                <c:ptCount val="5"/>
                <c:pt idx="0">
                  <c:v>1.2181926266546956</c:v>
                </c:pt>
                <c:pt idx="1">
                  <c:v>0.40333456232431247</c:v>
                </c:pt>
                <c:pt idx="2">
                  <c:v>0.81121404124094898</c:v>
                </c:pt>
                <c:pt idx="3">
                  <c:v>0.59686206419245547</c:v>
                </c:pt>
                <c:pt idx="4">
                  <c:v>0.98331676123412892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C-4032-B70C-7DA6A0DB2A2C}"/>
            </c:ext>
          </c:extLst>
        </c:ser>
        <c:ser>
          <c:idx val="2"/>
          <c:order val="2"/>
          <c:tx>
            <c:strRef>
              <c:f>'sequence-1-simulation-2'!$U$24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'sequence-1-simulation-2'!$R$25:$R$29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'sequence-1-simulation-2'!$U$25:$U$29</c:f>
              <c:numCache>
                <c:formatCode>0.00%</c:formatCode>
                <c:ptCount val="5"/>
                <c:pt idx="0">
                  <c:v>1.2080834265105946</c:v>
                </c:pt>
                <c:pt idx="1">
                  <c:v>0.38433583246371844</c:v>
                </c:pt>
                <c:pt idx="2">
                  <c:v>0.66499811794831043</c:v>
                </c:pt>
                <c:pt idx="3">
                  <c:v>0.52846823831279888</c:v>
                </c:pt>
                <c:pt idx="4">
                  <c:v>0.9848094347579629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C-4032-B70C-7DA6A0DB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226105"/>
        <c:axId val="1992022418"/>
      </c:barChart>
      <c:catAx>
        <c:axId val="10752261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2022418"/>
        <c:crosses val="autoZero"/>
        <c:auto val="1"/>
        <c:lblAlgn val="ctr"/>
        <c:lblOffset val="100"/>
        <c:noMultiLvlLbl val="1"/>
      </c:catAx>
      <c:valAx>
        <c:axId val="1992022418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522610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 for Sequence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'sequence-2-simulation-2'!$B$19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'sequence-2-simulation-2'!$A$20:$A$33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'sequence-2-simulation-2'!$B$20:$B$33</c:f>
              <c:numCache>
                <c:formatCode>0.00000\ "µs"</c:formatCode>
                <c:ptCount val="14"/>
                <c:pt idx="0">
                  <c:v>0.96532662827459603</c:v>
                </c:pt>
                <c:pt idx="1">
                  <c:v>0.10395084274423</c:v>
                </c:pt>
                <c:pt idx="2">
                  <c:v>0.17664249608288601</c:v>
                </c:pt>
                <c:pt idx="3">
                  <c:v>5.3405145651272801E-2</c:v>
                </c:pt>
                <c:pt idx="4">
                  <c:v>3.3103833181693902E-2</c:v>
                </c:pt>
                <c:pt idx="5">
                  <c:v>2.4351823027296798E-2</c:v>
                </c:pt>
                <c:pt idx="6">
                  <c:v>0.66796034525802295</c:v>
                </c:pt>
                <c:pt idx="7">
                  <c:v>0.94989552160108803</c:v>
                </c:pt>
                <c:pt idx="8">
                  <c:v>0.46299030049591999</c:v>
                </c:pt>
                <c:pt idx="9">
                  <c:v>5.24403197439633E-2</c:v>
                </c:pt>
                <c:pt idx="10">
                  <c:v>3.3274280840271397E-2</c:v>
                </c:pt>
                <c:pt idx="11">
                  <c:v>0.13196333059080201</c:v>
                </c:pt>
                <c:pt idx="12">
                  <c:v>4.5246853582141901E-2</c:v>
                </c:pt>
                <c:pt idx="13">
                  <c:v>4.7469183436860102E-2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1F8-8C54-0B52768F80A2}"/>
            </c:ext>
          </c:extLst>
        </c:ser>
        <c:ser>
          <c:idx val="1"/>
          <c:order val="1"/>
          <c:tx>
            <c:strRef>
              <c:f>'sequence-2-simulation-2'!$C$19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'sequence-2-simulation-2'!$A$20:$A$33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'sequence-2-simulation-2'!$C$20:$C$33</c:f>
              <c:numCache>
                <c:formatCode>0.00000\ "µs"</c:formatCode>
                <c:ptCount val="14"/>
                <c:pt idx="0">
                  <c:v>0.210241599603843</c:v>
                </c:pt>
                <c:pt idx="1">
                  <c:v>3.6828249737135603E-2</c:v>
                </c:pt>
                <c:pt idx="2">
                  <c:v>0.173792471230068</c:v>
                </c:pt>
                <c:pt idx="3">
                  <c:v>5.1351821307378601E-2</c:v>
                </c:pt>
                <c:pt idx="4">
                  <c:v>3.3400364278674897E-2</c:v>
                </c:pt>
                <c:pt idx="5">
                  <c:v>2.4847641046191801E-2</c:v>
                </c:pt>
                <c:pt idx="6">
                  <c:v>0.54239074721459801</c:v>
                </c:pt>
                <c:pt idx="7">
                  <c:v>0.206812105039274</c:v>
                </c:pt>
                <c:pt idx="8">
                  <c:v>0.76951531162959197</c:v>
                </c:pt>
                <c:pt idx="9">
                  <c:v>5.2067768208271401E-2</c:v>
                </c:pt>
                <c:pt idx="10">
                  <c:v>3.3383805979725401E-2</c:v>
                </c:pt>
                <c:pt idx="11">
                  <c:v>0.13328072704765201</c:v>
                </c:pt>
                <c:pt idx="12">
                  <c:v>4.5149828993146103E-2</c:v>
                </c:pt>
                <c:pt idx="13">
                  <c:v>4.7592445024122798E-2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7-41F8-8C54-0B52768F80A2}"/>
            </c:ext>
          </c:extLst>
        </c:ser>
        <c:ser>
          <c:idx val="2"/>
          <c:order val="2"/>
          <c:tx>
            <c:strRef>
              <c:f>'sequence-2-simulation-2'!$D$19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'sequence-2-simulation-2'!$A$20:$A$33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'sequence-2-simulation-2'!$D$20:$D$33</c:f>
              <c:numCache>
                <c:formatCode>0.00000\ "µs"</c:formatCode>
                <c:ptCount val="14"/>
                <c:pt idx="0">
                  <c:v>0.18188876219049599</c:v>
                </c:pt>
                <c:pt idx="1">
                  <c:v>3.67178302969529E-2</c:v>
                </c:pt>
                <c:pt idx="2">
                  <c:v>0.17402091076548401</c:v>
                </c:pt>
                <c:pt idx="3">
                  <c:v>4.7129903701779899E-2</c:v>
                </c:pt>
                <c:pt idx="4">
                  <c:v>3.2926750403750801E-2</c:v>
                </c:pt>
                <c:pt idx="5">
                  <c:v>3.5794799999312003E-2</c:v>
                </c:pt>
                <c:pt idx="6">
                  <c:v>0.61858776936847604</c:v>
                </c:pt>
                <c:pt idx="7">
                  <c:v>0.192407770616741</c:v>
                </c:pt>
                <c:pt idx="8">
                  <c:v>0.75721629516685396</c:v>
                </c:pt>
                <c:pt idx="9">
                  <c:v>4.7240977951555303E-2</c:v>
                </c:pt>
                <c:pt idx="10">
                  <c:v>3.37522361697149E-2</c:v>
                </c:pt>
                <c:pt idx="11">
                  <c:v>0.11475129263819001</c:v>
                </c:pt>
                <c:pt idx="12">
                  <c:v>4.2431931048419802E-2</c:v>
                </c:pt>
                <c:pt idx="13">
                  <c:v>4.8681752129577503E-2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7-41F8-8C54-0B52768F8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882196"/>
        <c:axId val="1642139964"/>
      </c:barChart>
      <c:catAx>
        <c:axId val="569882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2139964"/>
        <c:crosses val="autoZero"/>
        <c:auto val="1"/>
        <c:lblAlgn val="ctr"/>
        <c:lblOffset val="100"/>
        <c:noMultiLvlLbl val="1"/>
      </c:catAx>
      <c:valAx>
        <c:axId val="1642139964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&quot; μs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98821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Method Runtime Breakdown for Sequence 2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'sequence-2-simulation-2'!$S$19</c:f>
              <c:strCache>
                <c:ptCount val="1"/>
                <c:pt idx="0">
                  <c:v>Simple.Intersects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'sequence-2-simulation-2'!$S$20:$S$22</c:f>
              <c:numCache>
                <c:formatCode>0.00000\ "s"</c:formatCode>
                <c:ptCount val="3"/>
                <c:pt idx="0">
                  <c:v>289.8402021</c:v>
                </c:pt>
                <c:pt idx="1">
                  <c:v>219.57199309999999</c:v>
                </c:pt>
                <c:pt idx="2">
                  <c:v>192.58491369999999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9-4F68-B004-3334C3D6EB9C}"/>
            </c:ext>
          </c:extLst>
        </c:ser>
        <c:ser>
          <c:idx val="1"/>
          <c:order val="1"/>
          <c:tx>
            <c:strRef>
              <c:f>'sequence-2-simulation-2'!$T$19</c:f>
              <c:strCache>
                <c:ptCount val="1"/>
                <c:pt idx="0">
                  <c:v>CollisionTree.Contains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'sequence-2-simulation-2'!$T$20:$T$22</c:f>
              <c:numCache>
                <c:formatCode>0.00000\ "s"</c:formatCode>
                <c:ptCount val="3"/>
                <c:pt idx="0">
                  <c:v>6.4102212999999999</c:v>
                </c:pt>
                <c:pt idx="1">
                  <c:v>6.4268665</c:v>
                </c:pt>
                <c:pt idx="2">
                  <c:v>4.7641574000000002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9-4F68-B004-3334C3D6EB9C}"/>
            </c:ext>
          </c:extLst>
        </c:ser>
        <c:ser>
          <c:idx val="2"/>
          <c:order val="2"/>
          <c:tx>
            <c:strRef>
              <c:f>'sequence-2-simulation-2'!$G$19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'sequence-2-simulation-2'!$G$20:$G$22</c:f>
              <c:numCache>
                <c:formatCode>0.00000\ "s"</c:formatCode>
                <c:ptCount val="3"/>
                <c:pt idx="0">
                  <c:v>75.472284299999998</c:v>
                </c:pt>
                <c:pt idx="1">
                  <c:v>16.437352199999999</c:v>
                </c:pt>
                <c:pt idx="2">
                  <c:v>10.8112172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9-4F68-B004-3334C3D6EB9C}"/>
            </c:ext>
          </c:extLst>
        </c:ser>
        <c:ser>
          <c:idx val="3"/>
          <c:order val="3"/>
          <c:tx>
            <c:strRef>
              <c:f>'sequence-2-simulation-2'!$H$19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'sequence-2-simulation-2'!$H$20:$H$22</c:f>
              <c:numCache>
                <c:formatCode>0.00000\ "s"</c:formatCode>
                <c:ptCount val="3"/>
                <c:pt idx="0">
                  <c:v>8.7413666999999986</c:v>
                </c:pt>
                <c:pt idx="1">
                  <c:v>56.810089299999994</c:v>
                </c:pt>
                <c:pt idx="2">
                  <c:v>48.719108499999997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49-4F68-B004-3334C3D6EB9C}"/>
            </c:ext>
          </c:extLst>
        </c:ser>
        <c:ser>
          <c:idx val="4"/>
          <c:order val="4"/>
          <c:tx>
            <c:strRef>
              <c:f>'sequence-2-simulation-2'!$M$19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'sequence-2-simulation-2'!$M$20:$M$22</c:f>
              <c:numCache>
                <c:formatCode>0.00000\ "s"</c:formatCode>
                <c:ptCount val="3"/>
                <c:pt idx="0">
                  <c:v>36.280479899999996</c:v>
                </c:pt>
                <c:pt idx="1">
                  <c:v>29.460127</c:v>
                </c:pt>
                <c:pt idx="2">
                  <c:v>41.430596299999998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9-4F68-B004-3334C3D6EB9C}"/>
            </c:ext>
          </c:extLst>
        </c:ser>
        <c:ser>
          <c:idx val="5"/>
          <c:order val="5"/>
          <c:tx>
            <c:strRef>
              <c:f>'sequence-2-simulation-2'!$N$19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'sequence-2-simulation-2'!$N$20:$N$22</c:f>
              <c:numCache>
                <c:formatCode>0.00000\ "s"</c:formatCode>
                <c:ptCount val="3"/>
                <c:pt idx="0">
                  <c:v>58.117440600000002</c:v>
                </c:pt>
                <c:pt idx="1">
                  <c:v>12.653381300000001</c:v>
                </c:pt>
                <c:pt idx="2">
                  <c:v>11.455113800000001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49-4F68-B004-3334C3D6EB9C}"/>
            </c:ext>
          </c:extLst>
        </c:ser>
        <c:ser>
          <c:idx val="6"/>
          <c:order val="6"/>
          <c:tx>
            <c:strRef>
              <c:f>'sequence-2-simulation-2'!$U$19</c:f>
              <c:strCache>
                <c:ptCount val="1"/>
                <c:pt idx="0">
                  <c:v>Update phase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'sequence-2-simulation-2'!$U$20:$U$22</c:f>
              <c:numCache>
                <c:formatCode>0.00000\ "s"</c:formatCode>
                <c:ptCount val="3"/>
                <c:pt idx="0">
                  <c:v>6.1803907000000002</c:v>
                </c:pt>
                <c:pt idx="1">
                  <c:v>8.1939096000000013</c:v>
                </c:pt>
                <c:pt idx="2">
                  <c:v>7.9978445999999987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49-4F68-B004-3334C3D6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568567"/>
        <c:axId val="1757162266"/>
      </c:barChart>
      <c:catAx>
        <c:axId val="13175685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7162266"/>
        <c:crosses val="autoZero"/>
        <c:auto val="1"/>
        <c:lblAlgn val="ctr"/>
        <c:lblOffset val="100"/>
        <c:noMultiLvlLbl val="1"/>
      </c:catAx>
      <c:valAx>
        <c:axId val="1757162266"/>
        <c:scaling>
          <c:orientation val="minMax"/>
          <c:max val="500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Runtime (s)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7568567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Runtime Comparison of the Implementations in Sequence 2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'sequence-2-simulation-2'!$S$24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'sequence-2-simulation-2'!$S$25:$S$29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1-48B8-B9D4-A6A475BEE1BF}"/>
            </c:ext>
          </c:extLst>
        </c:ser>
        <c:ser>
          <c:idx val="1"/>
          <c:order val="1"/>
          <c:tx>
            <c:strRef>
              <c:f>'sequence-2-simulation-2'!$T$24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'sequence-2-simulation-2'!$T$25:$T$29</c:f>
              <c:numCache>
                <c:formatCode>0.00%</c:formatCode>
                <c:ptCount val="5"/>
                <c:pt idx="0">
                  <c:v>1.3257915231799182</c:v>
                </c:pt>
                <c:pt idx="1">
                  <c:v>0.6458761256685992</c:v>
                </c:pt>
                <c:pt idx="2">
                  <c:v>0.76286425857644857</c:v>
                </c:pt>
                <c:pt idx="3">
                  <c:v>0.72665887552508424</c:v>
                </c:pt>
                <c:pt idx="4">
                  <c:v>0.92480614108619419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1-48B8-B9D4-A6A475BEE1BF}"/>
            </c:ext>
          </c:extLst>
        </c:ser>
        <c:ser>
          <c:idx val="2"/>
          <c:order val="2"/>
          <c:tx>
            <c:strRef>
              <c:f>'sequence-2-simulation-2'!$U$24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'sequence-2-simulation-2'!$R$25:$R$29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'sequence-2-simulation-2'!$U$25:$U$29</c:f>
              <c:numCache>
                <c:formatCode>0.00%</c:formatCode>
                <c:ptCount val="5"/>
                <c:pt idx="0">
                  <c:v>1.2940678006003727</c:v>
                </c:pt>
                <c:pt idx="1">
                  <c:v>0.62938831373531701</c:v>
                </c:pt>
                <c:pt idx="2">
                  <c:v>0.66615624995592826</c:v>
                </c:pt>
                <c:pt idx="3">
                  <c:v>0.66057162739133057</c:v>
                </c:pt>
                <c:pt idx="4">
                  <c:v>0.84161868941781681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1-48B8-B9D4-A6A475BE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783994"/>
        <c:axId val="898206684"/>
      </c:barChart>
      <c:catAx>
        <c:axId val="18187839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8206684"/>
        <c:crosses val="autoZero"/>
        <c:auto val="1"/>
        <c:lblAlgn val="ctr"/>
        <c:lblOffset val="100"/>
        <c:noMultiLvlLbl val="1"/>
      </c:catAx>
      <c:valAx>
        <c:axId val="89820668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78399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 for Sequence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'sequence-3-simulation-2'!$B$19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'sequence-3-simulation-2'!$A$20:$A$33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'sequence-3-simulation-2'!$B$20:$B$33</c:f>
              <c:numCache>
                <c:formatCode>0.00000\ "µs"</c:formatCode>
                <c:ptCount val="14"/>
                <c:pt idx="0">
                  <c:v>0.97093273437361904</c:v>
                </c:pt>
                <c:pt idx="1">
                  <c:v>0.103410825171346</c:v>
                </c:pt>
                <c:pt idx="2">
                  <c:v>0.17601525836960399</c:v>
                </c:pt>
                <c:pt idx="3">
                  <c:v>5.1423225447524298E-2</c:v>
                </c:pt>
                <c:pt idx="4">
                  <c:v>3.2490231370880703E-2</c:v>
                </c:pt>
                <c:pt idx="5">
                  <c:v>2.4102488791438899E-2</c:v>
                </c:pt>
                <c:pt idx="6">
                  <c:v>0.67706326116118898</c:v>
                </c:pt>
                <c:pt idx="7">
                  <c:v>0.94704296454842596</c:v>
                </c:pt>
                <c:pt idx="8">
                  <c:v>0.50242580943165704</c:v>
                </c:pt>
                <c:pt idx="9">
                  <c:v>5.1827502689448399E-2</c:v>
                </c:pt>
                <c:pt idx="10">
                  <c:v>3.3227724370394299E-2</c:v>
                </c:pt>
                <c:pt idx="11">
                  <c:v>0.13150433102065101</c:v>
                </c:pt>
                <c:pt idx="12">
                  <c:v>4.2095597416347698E-2</c:v>
                </c:pt>
                <c:pt idx="13">
                  <c:v>4.80397555081018E-2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D-4E23-86F5-721EAC43FE40}"/>
            </c:ext>
          </c:extLst>
        </c:ser>
        <c:ser>
          <c:idx val="1"/>
          <c:order val="1"/>
          <c:tx>
            <c:strRef>
              <c:f>'sequence-3-simulation-2'!$C$19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'sequence-3-simulation-2'!$A$20:$A$33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'sequence-3-simulation-2'!$C$20:$C$33</c:f>
              <c:numCache>
                <c:formatCode>0.00000\ "µs"</c:formatCode>
                <c:ptCount val="14"/>
                <c:pt idx="0">
                  <c:v>0.21171463905666699</c:v>
                </c:pt>
                <c:pt idx="1">
                  <c:v>3.6761982803619697E-2</c:v>
                </c:pt>
                <c:pt idx="2">
                  <c:v>0.172878309389011</c:v>
                </c:pt>
                <c:pt idx="3">
                  <c:v>5.1145793107962197E-2</c:v>
                </c:pt>
                <c:pt idx="4">
                  <c:v>3.2684663088653997E-2</c:v>
                </c:pt>
                <c:pt idx="5">
                  <c:v>2.45314330595281E-2</c:v>
                </c:pt>
                <c:pt idx="6">
                  <c:v>0.54818017018406395</c:v>
                </c:pt>
                <c:pt idx="7">
                  <c:v>0.20838438080142299</c:v>
                </c:pt>
                <c:pt idx="8">
                  <c:v>0.82122865505260001</c:v>
                </c:pt>
                <c:pt idx="9">
                  <c:v>5.1905855141546997E-2</c:v>
                </c:pt>
                <c:pt idx="10">
                  <c:v>3.3076145086830801E-2</c:v>
                </c:pt>
                <c:pt idx="11">
                  <c:v>0.131700031852684</c:v>
                </c:pt>
                <c:pt idx="12">
                  <c:v>4.1717497413197697E-2</c:v>
                </c:pt>
                <c:pt idx="13">
                  <c:v>4.8534191252670701E-2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D-4E23-86F5-721EAC43FE40}"/>
            </c:ext>
          </c:extLst>
        </c:ser>
        <c:ser>
          <c:idx val="2"/>
          <c:order val="2"/>
          <c:tx>
            <c:strRef>
              <c:f>'sequence-3-simulation-2'!$D$19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'sequence-3-simulation-2'!$A$20:$A$33</c:f>
              <c:strCache>
                <c:ptCount val="14"/>
                <c:pt idx="0">
                  <c:v>SBC.CheckSOBR</c:v>
                </c:pt>
                <c:pt idx="1">
                  <c:v>SBC.CheckSBC</c:v>
                </c:pt>
                <c:pt idx="2">
                  <c:v>SBC.Reorient</c:v>
                </c:pt>
                <c:pt idx="3">
                  <c:v>SBC.Reposition</c:v>
                </c:pt>
                <c:pt idx="4">
                  <c:v>SBC.Resize</c:v>
                </c:pt>
                <c:pt idx="5">
                  <c:v>SBC.UpdateSimpleSize</c:v>
                </c:pt>
                <c:pt idx="6">
                  <c:v>SOBR.CheckSOBR</c:v>
                </c:pt>
                <c:pt idx="7">
                  <c:v>SOBR.CheckSBC</c:v>
                </c:pt>
                <c:pt idx="8">
                  <c:v>SOBR.Reorient</c:v>
                </c:pt>
                <c:pt idx="9">
                  <c:v>SOBR.Reposition</c:v>
                </c:pt>
                <c:pt idx="10">
                  <c:v>SOBR.Resize</c:v>
                </c:pt>
                <c:pt idx="11">
                  <c:v>SOBR.UpdateSimpleSize</c:v>
                </c:pt>
                <c:pt idx="12">
                  <c:v>Simple.Intersects</c:v>
                </c:pt>
                <c:pt idx="13">
                  <c:v>CollisionTree.Contains</c:v>
                </c:pt>
              </c:strCache>
            </c:strRef>
          </c:cat>
          <c:val>
            <c:numRef>
              <c:f>'sequence-3-simulation-2'!$D$20:$D$33</c:f>
              <c:numCache>
                <c:formatCode>0.00000\ "µs"</c:formatCode>
                <c:ptCount val="14"/>
                <c:pt idx="0">
                  <c:v>0.18835534749632901</c:v>
                </c:pt>
                <c:pt idx="1">
                  <c:v>3.6655574067204003E-2</c:v>
                </c:pt>
                <c:pt idx="2">
                  <c:v>0.17488944431717801</c:v>
                </c:pt>
                <c:pt idx="3">
                  <c:v>4.7099396210361001E-2</c:v>
                </c:pt>
                <c:pt idx="4">
                  <c:v>3.2265921065549603E-2</c:v>
                </c:pt>
                <c:pt idx="5">
                  <c:v>3.4958814674215397E-2</c:v>
                </c:pt>
                <c:pt idx="6">
                  <c:v>0.64622274722166395</c:v>
                </c:pt>
                <c:pt idx="7">
                  <c:v>0.19418293401447201</c:v>
                </c:pt>
                <c:pt idx="8">
                  <c:v>0.80333424627190497</c:v>
                </c:pt>
                <c:pt idx="9">
                  <c:v>4.75025177357635E-2</c:v>
                </c:pt>
                <c:pt idx="10">
                  <c:v>3.3614403938399803E-2</c:v>
                </c:pt>
                <c:pt idx="11">
                  <c:v>0.105873729434198</c:v>
                </c:pt>
                <c:pt idx="12">
                  <c:v>4.2353298419754097E-2</c:v>
                </c:pt>
                <c:pt idx="13">
                  <c:v>4.6889958485377498E-2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FD-4E23-86F5-721EAC43F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45115"/>
        <c:axId val="1025737648"/>
      </c:barChart>
      <c:catAx>
        <c:axId val="54845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5737648"/>
        <c:crosses val="autoZero"/>
        <c:auto val="1"/>
        <c:lblAlgn val="ctr"/>
        <c:lblOffset val="100"/>
        <c:noMultiLvlLbl val="1"/>
      </c:catAx>
      <c:valAx>
        <c:axId val="102573764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&quot; μs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8451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Method Runtime Breakdown for Sequence 3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'sequence-3-simulation-2'!$S$19</c:f>
              <c:strCache>
                <c:ptCount val="1"/>
                <c:pt idx="0">
                  <c:v>Simple.Intersects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'sequence-3-simulation-2'!$S$20:$S$22</c:f>
              <c:numCache>
                <c:formatCode>0.00000\ "s"</c:formatCode>
                <c:ptCount val="3"/>
                <c:pt idx="0">
                  <c:v>677.69748349999998</c:v>
                </c:pt>
                <c:pt idx="1">
                  <c:v>476.55369030000003</c:v>
                </c:pt>
                <c:pt idx="2">
                  <c:v>450.10904479999999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A-47AE-BECE-2C7B9FA293A7}"/>
            </c:ext>
          </c:extLst>
        </c:ser>
        <c:ser>
          <c:idx val="1"/>
          <c:order val="1"/>
          <c:tx>
            <c:strRef>
              <c:f>'sequence-3-simulation-2'!$T$19</c:f>
              <c:strCache>
                <c:ptCount val="1"/>
                <c:pt idx="0">
                  <c:v>CollisionTree.Contains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'sequence-3-simulation-2'!$T$20:$T$22</c:f>
              <c:numCache>
                <c:formatCode>0.00000\ "s"</c:formatCode>
                <c:ptCount val="3"/>
                <c:pt idx="0">
                  <c:v>12.409742199999998</c:v>
                </c:pt>
                <c:pt idx="1">
                  <c:v>12.537466</c:v>
                </c:pt>
                <c:pt idx="2">
                  <c:v>10.9444067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A-47AE-BECE-2C7B9FA293A7}"/>
            </c:ext>
          </c:extLst>
        </c:ser>
        <c:ser>
          <c:idx val="2"/>
          <c:order val="2"/>
          <c:tx>
            <c:strRef>
              <c:f>'sequence-3-simulation-2'!$G$19</c:f>
              <c:strCache>
                <c:ptCount val="1"/>
                <c:pt idx="0">
                  <c:v>SBC.CheckSOBR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'sequence-3-simulation-2'!$G$20:$G$22</c:f>
              <c:numCache>
                <c:formatCode>0.00000\ "s"</c:formatCode>
                <c:ptCount val="3"/>
                <c:pt idx="0">
                  <c:v>83.877804099999992</c:v>
                </c:pt>
                <c:pt idx="1">
                  <c:v>18.289793299999999</c:v>
                </c:pt>
                <c:pt idx="2">
                  <c:v>11.749947499999999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FA-47AE-BECE-2C7B9FA293A7}"/>
            </c:ext>
          </c:extLst>
        </c:ser>
        <c:ser>
          <c:idx val="3"/>
          <c:order val="3"/>
          <c:tx>
            <c:strRef>
              <c:f>'sequence-3-simulation-2'!$H$19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'sequence-3-simulation-2'!$H$20:$H$22</c:f>
              <c:numCache>
                <c:formatCode>0.00000\ "s"</c:formatCode>
                <c:ptCount val="3"/>
                <c:pt idx="0">
                  <c:v>11.348453900000001</c:v>
                </c:pt>
                <c:pt idx="1">
                  <c:v>171.8864648</c:v>
                </c:pt>
                <c:pt idx="2">
                  <c:v>142.65226849999999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FA-47AE-BECE-2C7B9FA293A7}"/>
            </c:ext>
          </c:extLst>
        </c:ser>
        <c:ser>
          <c:idx val="4"/>
          <c:order val="4"/>
          <c:tx>
            <c:strRef>
              <c:f>'sequence-3-simulation-2'!$M$19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'sequence-3-simulation-2'!$M$20:$M$22</c:f>
              <c:numCache>
                <c:formatCode>0.00000\ "s"</c:formatCode>
                <c:ptCount val="3"/>
                <c:pt idx="0">
                  <c:v>29.692521299999999</c:v>
                </c:pt>
                <c:pt idx="1">
                  <c:v>24.040370100000001</c:v>
                </c:pt>
                <c:pt idx="2">
                  <c:v>36.325279200000004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A-47AE-BECE-2C7B9FA293A7}"/>
            </c:ext>
          </c:extLst>
        </c:ser>
        <c:ser>
          <c:idx val="5"/>
          <c:order val="5"/>
          <c:tx>
            <c:strRef>
              <c:f>'sequence-3-simulation-2'!$N$19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'sequence-3-simulation-2'!$N$20:$N$22</c:f>
              <c:numCache>
                <c:formatCode>0.00000\ "s"</c:formatCode>
                <c:ptCount val="3"/>
                <c:pt idx="0">
                  <c:v>55.787864299999995</c:v>
                </c:pt>
                <c:pt idx="1">
                  <c:v>12.2753877</c:v>
                </c:pt>
                <c:pt idx="2">
                  <c:v>12.052664800000001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FA-47AE-BECE-2C7B9FA293A7}"/>
            </c:ext>
          </c:extLst>
        </c:ser>
        <c:ser>
          <c:idx val="6"/>
          <c:order val="6"/>
          <c:tx>
            <c:strRef>
              <c:f>'sequence-3-simulation-2'!$U$19</c:f>
              <c:strCache>
                <c:ptCount val="1"/>
                <c:pt idx="0">
                  <c:v>Update phase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'sequence-3-simulation-2'!$F$20:$F$22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'sequence-3-simulation-2'!$U$20:$U$22</c:f>
              <c:numCache>
                <c:formatCode>0.00000\ "s"</c:formatCode>
                <c:ptCount val="3"/>
                <c:pt idx="0">
                  <c:v>11.845945199999997</c:v>
                </c:pt>
                <c:pt idx="1">
                  <c:v>15.526472499999999</c:v>
                </c:pt>
                <c:pt idx="2">
                  <c:v>15.069680199999999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FA-47AE-BECE-2C7B9FA29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1021868"/>
        <c:axId val="1925301193"/>
      </c:barChart>
      <c:catAx>
        <c:axId val="16110218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5301193"/>
        <c:crosses val="autoZero"/>
        <c:auto val="1"/>
        <c:lblAlgn val="ctr"/>
        <c:lblOffset val="100"/>
        <c:noMultiLvlLbl val="1"/>
      </c:catAx>
      <c:valAx>
        <c:axId val="1925301193"/>
        <c:scaling>
          <c:orientation val="minMax"/>
          <c:max val="1000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Runtime (s)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1021868"/>
        <c:crosses val="max"/>
        <c:crossBetween val="between"/>
        <c:majorUnit val="200"/>
        <c:minorUnit val="10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Runtime Comparison of the Implementations in Sequence 3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'sequence-3-simulation-2'!$S$24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'sequence-3-simulation-2'!$S$25:$S$29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9-4528-B5FB-4F81556B7F63}"/>
            </c:ext>
          </c:extLst>
        </c:ser>
        <c:ser>
          <c:idx val="1"/>
          <c:order val="1"/>
          <c:tx>
            <c:strRef>
              <c:f>'sequence-3-simulation-2'!$T$24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'sequence-3-simulation-2'!$T$25:$T$29</c:f>
              <c:numCache>
                <c:formatCode>0.00%</c:formatCode>
                <c:ptCount val="5"/>
                <c:pt idx="0">
                  <c:v>1.3106993353303713</c:v>
                </c:pt>
                <c:pt idx="1">
                  <c:v>1.2533685059269177</c:v>
                </c:pt>
                <c:pt idx="2">
                  <c:v>0.70871762834231689</c:v>
                </c:pt>
                <c:pt idx="3">
                  <c:v>0.82830285540319004</c:v>
                </c:pt>
                <c:pt idx="4">
                  <c:v>0.91586958268576013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9-4528-B5FB-4F81556B7F63}"/>
            </c:ext>
          </c:extLst>
        </c:ser>
        <c:ser>
          <c:idx val="2"/>
          <c:order val="2"/>
          <c:tx>
            <c:strRef>
              <c:f>'sequence-3-simulation-2'!$U$24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'sequence-3-simulation-2'!$R$25:$R$29</c:f>
              <c:strCache>
                <c:ptCount val="5"/>
                <c:pt idx="0">
                  <c:v>Update phase</c:v>
                </c:pt>
                <c:pt idx="1">
                  <c:v>Narrow phase</c:v>
                </c:pt>
                <c:pt idx="2">
                  <c:v>Broad phase</c:v>
                </c:pt>
                <c:pt idx="3">
                  <c:v>Combined</c:v>
                </c:pt>
                <c:pt idx="4">
                  <c:v>Entire simulation</c:v>
                </c:pt>
              </c:strCache>
            </c:strRef>
          </c:cat>
          <c:val>
            <c:numRef>
              <c:f>'sequence-3-simulation-2'!$U$25:$U$29</c:f>
              <c:numCache>
                <c:formatCode>0.00%</c:formatCode>
                <c:ptCount val="5"/>
                <c:pt idx="0">
                  <c:v>1.27213826719374</c:v>
                </c:pt>
                <c:pt idx="1">
                  <c:v>1.1221511061256855</c:v>
                </c:pt>
                <c:pt idx="2">
                  <c:v>0.66808958713964672</c:v>
                </c:pt>
                <c:pt idx="3">
                  <c:v>0.76915622592898736</c:v>
                </c:pt>
                <c:pt idx="4">
                  <c:v>0.86818774933181042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9-4528-B5FB-4F81556B7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436229"/>
        <c:axId val="792414490"/>
      </c:barChart>
      <c:catAx>
        <c:axId val="362436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2414490"/>
        <c:crosses val="autoZero"/>
        <c:auto val="1"/>
        <c:lblAlgn val="ctr"/>
        <c:lblOffset val="100"/>
        <c:noMultiLvlLbl val="1"/>
      </c:catAx>
      <c:valAx>
        <c:axId val="79241449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243622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Method Runtimes for Simulation 2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'simulation-2-summary'!$B$2</c:f>
              <c:strCache>
                <c:ptCount val="1"/>
                <c:pt idx="0">
                  <c:v>Sequence 1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933-4E0D-9691-781270DBE9E3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933-4E0D-9691-781270DBE9E3}"/>
              </c:ext>
            </c:extLst>
          </c:dPt>
          <c:cat>
            <c:strRef>
              <c:f>'simulation-2-summary'!A3:A34</c:f>
              <c:strCache>
                <c:ptCount val="32"/>
                <c:pt idx="0">
                  <c:v>SBC.CheckSOBR</c:v>
                </c:pt>
                <c:pt idx="1">
                  <c:v>Baseline</c:v>
                </c:pt>
                <c:pt idx="2">
                  <c:v>Artifact 1</c:v>
                </c:pt>
                <c:pt idx="3">
                  <c:v>Artifact 2</c:v>
                </c:pt>
                <c:pt idx="4">
                  <c:v>SBC.CheckSBC</c:v>
                </c:pt>
                <c:pt idx="5">
                  <c:v>Baseline</c:v>
                </c:pt>
                <c:pt idx="6">
                  <c:v>Artifact 1</c:v>
                </c:pt>
                <c:pt idx="7">
                  <c:v>Artifact 2</c:v>
                </c:pt>
                <c:pt idx="8">
                  <c:v>SBC.UpdateSimpleSize</c:v>
                </c:pt>
                <c:pt idx="9">
                  <c:v>Baseline</c:v>
                </c:pt>
                <c:pt idx="10">
                  <c:v>Artifact 1</c:v>
                </c:pt>
                <c:pt idx="11">
                  <c:v>Artifact 2</c:v>
                </c:pt>
                <c:pt idx="12">
                  <c:v>SOBR.CheckSOBR</c:v>
                </c:pt>
                <c:pt idx="13">
                  <c:v>Baseline</c:v>
                </c:pt>
                <c:pt idx="14">
                  <c:v>Artifact 1</c:v>
                </c:pt>
                <c:pt idx="15">
                  <c:v>Artifact 2</c:v>
                </c:pt>
                <c:pt idx="16">
                  <c:v>SOBR.CheckSBC</c:v>
                </c:pt>
                <c:pt idx="17">
                  <c:v>Baseline</c:v>
                </c:pt>
                <c:pt idx="18">
                  <c:v>Artifact 1</c:v>
                </c:pt>
                <c:pt idx="19">
                  <c:v>Artifact 2</c:v>
                </c:pt>
                <c:pt idx="20">
                  <c:v>SOBR.UpdateSimpleSize</c:v>
                </c:pt>
                <c:pt idx="21">
                  <c:v>Baseline</c:v>
                </c:pt>
                <c:pt idx="22">
                  <c:v>Artifact 1</c:v>
                </c:pt>
                <c:pt idx="23">
                  <c:v>Artifact 2</c:v>
                </c:pt>
                <c:pt idx="24">
                  <c:v>Simple.Intersects</c:v>
                </c:pt>
                <c:pt idx="25">
                  <c:v>Baseline</c:v>
                </c:pt>
                <c:pt idx="26">
                  <c:v>Artifact 1</c:v>
                </c:pt>
                <c:pt idx="27">
                  <c:v>Artifact 2</c:v>
                </c:pt>
                <c:pt idx="28">
                  <c:v>CollisionTree.Contains</c:v>
                </c:pt>
                <c:pt idx="29">
                  <c:v>Baseline</c:v>
                </c:pt>
                <c:pt idx="30">
                  <c:v>Artifact 1</c:v>
                </c:pt>
                <c:pt idx="31">
                  <c:v>Artifact 2</c:v>
                </c:pt>
              </c:strCache>
            </c:strRef>
          </c:cat>
          <c:val>
            <c:numRef>
              <c:f>'simulation-2-summary'!B3:B34</c:f>
              <c:numCache>
                <c:formatCode>0.0\ "µs"</c:formatCode>
                <c:ptCount val="32"/>
                <c:pt idx="1">
                  <c:v>1.003507428</c:v>
                </c:pt>
                <c:pt idx="2">
                  <c:v>0.22765430292265301</c:v>
                </c:pt>
                <c:pt idx="3">
                  <c:v>0.197882462388938</c:v>
                </c:pt>
                <c:pt idx="4">
                  <c:v>0</c:v>
                </c:pt>
                <c:pt idx="5">
                  <c:v>0.11322795714058601</c:v>
                </c:pt>
                <c:pt idx="6">
                  <c:v>4.01752334865337E-2</c:v>
                </c:pt>
                <c:pt idx="7">
                  <c:v>4.09994630344412E-2</c:v>
                </c:pt>
                <c:pt idx="8">
                  <c:v>0</c:v>
                </c:pt>
                <c:pt idx="9">
                  <c:v>2.7813827046427701E-2</c:v>
                </c:pt>
                <c:pt idx="10">
                  <c:v>2.8288765302677599E-2</c:v>
                </c:pt>
                <c:pt idx="11">
                  <c:v>4.3793109575167501E-2</c:v>
                </c:pt>
                <c:pt idx="12">
                  <c:v>0</c:v>
                </c:pt>
                <c:pt idx="13">
                  <c:v>0.72986054205231199</c:v>
                </c:pt>
                <c:pt idx="14">
                  <c:v>0.59224601840213698</c:v>
                </c:pt>
                <c:pt idx="15">
                  <c:v>0.67623132712461698</c:v>
                </c:pt>
                <c:pt idx="16">
                  <c:v>0</c:v>
                </c:pt>
                <c:pt idx="17">
                  <c:v>1.0697312346454599</c:v>
                </c:pt>
                <c:pt idx="18">
                  <c:v>0.24099057517299799</c:v>
                </c:pt>
                <c:pt idx="19">
                  <c:v>0.213466346373059</c:v>
                </c:pt>
                <c:pt idx="20">
                  <c:v>0</c:v>
                </c:pt>
                <c:pt idx="21">
                  <c:v>0.16151384670359101</c:v>
                </c:pt>
                <c:pt idx="22">
                  <c:v>0.16493693049848099</c:v>
                </c:pt>
                <c:pt idx="23">
                  <c:v>0.16133375022333399</c:v>
                </c:pt>
                <c:pt idx="24">
                  <c:v>0</c:v>
                </c:pt>
                <c:pt idx="25">
                  <c:v>5.5145734095144998E-2</c:v>
                </c:pt>
                <c:pt idx="26">
                  <c:v>5.5080596910249101E-2</c:v>
                </c:pt>
                <c:pt idx="27">
                  <c:v>4.69811418706962E-2</c:v>
                </c:pt>
                <c:pt idx="28">
                  <c:v>0</c:v>
                </c:pt>
                <c:pt idx="29">
                  <c:v>5.3300771142006799E-2</c:v>
                </c:pt>
                <c:pt idx="30">
                  <c:v>5.3106627418746701E-2</c:v>
                </c:pt>
                <c:pt idx="31">
                  <c:v>6.2332448962195801E-2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E0D-9691-781270DBE9E3}"/>
            </c:ext>
          </c:extLst>
        </c:ser>
        <c:ser>
          <c:idx val="1"/>
          <c:order val="1"/>
          <c:tx>
            <c:strRef>
              <c:f>'simulation-2-summary'!$C$2</c:f>
              <c:strCache>
                <c:ptCount val="1"/>
                <c:pt idx="0">
                  <c:v>Sequence 2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D933-4E0D-9691-781270DBE9E3}"/>
              </c:ext>
            </c:extLst>
          </c:dPt>
          <c:dPt>
            <c:idx val="4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7-D933-4E0D-9691-781270DBE9E3}"/>
              </c:ext>
            </c:extLst>
          </c:dPt>
          <c:dPt>
            <c:idx val="8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9-D933-4E0D-9691-781270DBE9E3}"/>
              </c:ext>
            </c:extLst>
          </c:dPt>
          <c:dPt>
            <c:idx val="12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B-D933-4E0D-9691-781270DBE9E3}"/>
              </c:ext>
            </c:extLst>
          </c:dPt>
          <c:dPt>
            <c:idx val="16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D-D933-4E0D-9691-781270DBE9E3}"/>
              </c:ext>
            </c:extLst>
          </c:dPt>
          <c:dPt>
            <c:idx val="20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F-D933-4E0D-9691-781270DBE9E3}"/>
              </c:ext>
            </c:extLst>
          </c:dPt>
          <c:dPt>
            <c:idx val="24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1-D933-4E0D-9691-781270DBE9E3}"/>
              </c:ext>
            </c:extLst>
          </c:dPt>
          <c:dPt>
            <c:idx val="28"/>
            <c:invertIfNegative val="1"/>
            <c:bubble3D val="0"/>
            <c:spPr>
              <a:solidFill>
                <a:srgbClr val="FFFFFF"/>
              </a:solidFill>
              <a:ln w="9525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3-D933-4E0D-9691-781270DBE9E3}"/>
              </c:ext>
            </c:extLst>
          </c:dPt>
          <c:cat>
            <c:strRef>
              <c:f>'simulation-2-summary'!A3:A34</c:f>
              <c:strCache>
                <c:ptCount val="32"/>
                <c:pt idx="0">
                  <c:v>SBC.CheckSOBR</c:v>
                </c:pt>
                <c:pt idx="1">
                  <c:v>Baseline</c:v>
                </c:pt>
                <c:pt idx="2">
                  <c:v>Artifact 1</c:v>
                </c:pt>
                <c:pt idx="3">
                  <c:v>Artifact 2</c:v>
                </c:pt>
                <c:pt idx="4">
                  <c:v>SBC.CheckSBC</c:v>
                </c:pt>
                <c:pt idx="5">
                  <c:v>Baseline</c:v>
                </c:pt>
                <c:pt idx="6">
                  <c:v>Artifact 1</c:v>
                </c:pt>
                <c:pt idx="7">
                  <c:v>Artifact 2</c:v>
                </c:pt>
                <c:pt idx="8">
                  <c:v>SBC.UpdateSimpleSize</c:v>
                </c:pt>
                <c:pt idx="9">
                  <c:v>Baseline</c:v>
                </c:pt>
                <c:pt idx="10">
                  <c:v>Artifact 1</c:v>
                </c:pt>
                <c:pt idx="11">
                  <c:v>Artifact 2</c:v>
                </c:pt>
                <c:pt idx="12">
                  <c:v>SOBR.CheckSOBR</c:v>
                </c:pt>
                <c:pt idx="13">
                  <c:v>Baseline</c:v>
                </c:pt>
                <c:pt idx="14">
                  <c:v>Artifact 1</c:v>
                </c:pt>
                <c:pt idx="15">
                  <c:v>Artifact 2</c:v>
                </c:pt>
                <c:pt idx="16">
                  <c:v>SOBR.CheckSBC</c:v>
                </c:pt>
                <c:pt idx="17">
                  <c:v>Baseline</c:v>
                </c:pt>
                <c:pt idx="18">
                  <c:v>Artifact 1</c:v>
                </c:pt>
                <c:pt idx="19">
                  <c:v>Artifact 2</c:v>
                </c:pt>
                <c:pt idx="20">
                  <c:v>SOBR.UpdateSimpleSize</c:v>
                </c:pt>
                <c:pt idx="21">
                  <c:v>Baseline</c:v>
                </c:pt>
                <c:pt idx="22">
                  <c:v>Artifact 1</c:v>
                </c:pt>
                <c:pt idx="23">
                  <c:v>Artifact 2</c:v>
                </c:pt>
                <c:pt idx="24">
                  <c:v>Simple.Intersects</c:v>
                </c:pt>
                <c:pt idx="25">
                  <c:v>Baseline</c:v>
                </c:pt>
                <c:pt idx="26">
                  <c:v>Artifact 1</c:v>
                </c:pt>
                <c:pt idx="27">
                  <c:v>Artifact 2</c:v>
                </c:pt>
                <c:pt idx="28">
                  <c:v>CollisionTree.Contains</c:v>
                </c:pt>
                <c:pt idx="29">
                  <c:v>Baseline</c:v>
                </c:pt>
                <c:pt idx="30">
                  <c:v>Artifact 1</c:v>
                </c:pt>
                <c:pt idx="31">
                  <c:v>Artifact 2</c:v>
                </c:pt>
              </c:strCache>
            </c:strRef>
          </c:cat>
          <c:val>
            <c:numRef>
              <c:f>'simulation-2-summary'!C3:C34</c:f>
              <c:numCache>
                <c:formatCode>0.0\ "µs"</c:formatCode>
                <c:ptCount val="32"/>
                <c:pt idx="0">
                  <c:v>2</c:v>
                </c:pt>
                <c:pt idx="1">
                  <c:v>0.96532662830000004</c:v>
                </c:pt>
                <c:pt idx="2">
                  <c:v>0.210241599603843</c:v>
                </c:pt>
                <c:pt idx="3">
                  <c:v>0.18188876219049599</c:v>
                </c:pt>
                <c:pt idx="4">
                  <c:v>2</c:v>
                </c:pt>
                <c:pt idx="5">
                  <c:v>0.10395084274423</c:v>
                </c:pt>
                <c:pt idx="6">
                  <c:v>3.6828249737135603E-2</c:v>
                </c:pt>
                <c:pt idx="7">
                  <c:v>3.67178302969529E-2</c:v>
                </c:pt>
                <c:pt idx="8">
                  <c:v>2</c:v>
                </c:pt>
                <c:pt idx="9">
                  <c:v>2.4351823027296798E-2</c:v>
                </c:pt>
                <c:pt idx="10">
                  <c:v>2.4847641046191801E-2</c:v>
                </c:pt>
                <c:pt idx="11">
                  <c:v>3.5794799999312003E-2</c:v>
                </c:pt>
                <c:pt idx="12">
                  <c:v>2</c:v>
                </c:pt>
                <c:pt idx="13">
                  <c:v>0.66796034525802295</c:v>
                </c:pt>
                <c:pt idx="14">
                  <c:v>0.54239074721459801</c:v>
                </c:pt>
                <c:pt idx="15">
                  <c:v>0.61858776936847604</c:v>
                </c:pt>
                <c:pt idx="16">
                  <c:v>2</c:v>
                </c:pt>
                <c:pt idx="17">
                  <c:v>0.94989552160108803</c:v>
                </c:pt>
                <c:pt idx="18">
                  <c:v>0.206812105039274</c:v>
                </c:pt>
                <c:pt idx="19">
                  <c:v>0.192407770616741</c:v>
                </c:pt>
                <c:pt idx="20">
                  <c:v>2</c:v>
                </c:pt>
                <c:pt idx="21">
                  <c:v>0.13196333059080201</c:v>
                </c:pt>
                <c:pt idx="22">
                  <c:v>0.13328072704765201</c:v>
                </c:pt>
                <c:pt idx="23">
                  <c:v>0.11475129263819001</c:v>
                </c:pt>
                <c:pt idx="24">
                  <c:v>2</c:v>
                </c:pt>
                <c:pt idx="25">
                  <c:v>4.5246853582141901E-2</c:v>
                </c:pt>
                <c:pt idx="26">
                  <c:v>4.5149828993146103E-2</c:v>
                </c:pt>
                <c:pt idx="27">
                  <c:v>4.2431931048419802E-2</c:v>
                </c:pt>
                <c:pt idx="28">
                  <c:v>2</c:v>
                </c:pt>
                <c:pt idx="29">
                  <c:v>4.7469183436860102E-2</c:v>
                </c:pt>
                <c:pt idx="30">
                  <c:v>4.7592445024122798E-2</c:v>
                </c:pt>
                <c:pt idx="31">
                  <c:v>4.8681752129577503E-2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33-4E0D-9691-781270DBE9E3}"/>
            </c:ext>
          </c:extLst>
        </c:ser>
        <c:ser>
          <c:idx val="2"/>
          <c:order val="2"/>
          <c:tx>
            <c:strRef>
              <c:f>'simulation-2-summary'!$D$2</c:f>
              <c:strCache>
                <c:ptCount val="1"/>
                <c:pt idx="0">
                  <c:v>Sequence 3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D933-4E0D-9691-781270DBE9E3}"/>
              </c:ext>
            </c:extLst>
          </c:dPt>
          <c:cat>
            <c:strRef>
              <c:f>'simulation-2-summary'!A3:A34</c:f>
              <c:strCache>
                <c:ptCount val="32"/>
                <c:pt idx="0">
                  <c:v>SBC.CheckSOBR</c:v>
                </c:pt>
                <c:pt idx="1">
                  <c:v>Baseline</c:v>
                </c:pt>
                <c:pt idx="2">
                  <c:v>Artifact 1</c:v>
                </c:pt>
                <c:pt idx="3">
                  <c:v>Artifact 2</c:v>
                </c:pt>
                <c:pt idx="4">
                  <c:v>SBC.CheckSBC</c:v>
                </c:pt>
                <c:pt idx="5">
                  <c:v>Baseline</c:v>
                </c:pt>
                <c:pt idx="6">
                  <c:v>Artifact 1</c:v>
                </c:pt>
                <c:pt idx="7">
                  <c:v>Artifact 2</c:v>
                </c:pt>
                <c:pt idx="8">
                  <c:v>SBC.UpdateSimpleSize</c:v>
                </c:pt>
                <c:pt idx="9">
                  <c:v>Baseline</c:v>
                </c:pt>
                <c:pt idx="10">
                  <c:v>Artifact 1</c:v>
                </c:pt>
                <c:pt idx="11">
                  <c:v>Artifact 2</c:v>
                </c:pt>
                <c:pt idx="12">
                  <c:v>SOBR.CheckSOBR</c:v>
                </c:pt>
                <c:pt idx="13">
                  <c:v>Baseline</c:v>
                </c:pt>
                <c:pt idx="14">
                  <c:v>Artifact 1</c:v>
                </c:pt>
                <c:pt idx="15">
                  <c:v>Artifact 2</c:v>
                </c:pt>
                <c:pt idx="16">
                  <c:v>SOBR.CheckSBC</c:v>
                </c:pt>
                <c:pt idx="17">
                  <c:v>Baseline</c:v>
                </c:pt>
                <c:pt idx="18">
                  <c:v>Artifact 1</c:v>
                </c:pt>
                <c:pt idx="19">
                  <c:v>Artifact 2</c:v>
                </c:pt>
                <c:pt idx="20">
                  <c:v>SOBR.UpdateSimpleSize</c:v>
                </c:pt>
                <c:pt idx="21">
                  <c:v>Baseline</c:v>
                </c:pt>
                <c:pt idx="22">
                  <c:v>Artifact 1</c:v>
                </c:pt>
                <c:pt idx="23">
                  <c:v>Artifact 2</c:v>
                </c:pt>
                <c:pt idx="24">
                  <c:v>Simple.Intersects</c:v>
                </c:pt>
                <c:pt idx="25">
                  <c:v>Baseline</c:v>
                </c:pt>
                <c:pt idx="26">
                  <c:v>Artifact 1</c:v>
                </c:pt>
                <c:pt idx="27">
                  <c:v>Artifact 2</c:v>
                </c:pt>
                <c:pt idx="28">
                  <c:v>CollisionTree.Contains</c:v>
                </c:pt>
                <c:pt idx="29">
                  <c:v>Baseline</c:v>
                </c:pt>
                <c:pt idx="30">
                  <c:v>Artifact 1</c:v>
                </c:pt>
                <c:pt idx="31">
                  <c:v>Artifact 2</c:v>
                </c:pt>
              </c:strCache>
            </c:strRef>
          </c:cat>
          <c:val>
            <c:numRef>
              <c:f>'simulation-2-summary'!D3:D34</c:f>
              <c:numCache>
                <c:formatCode>0.0\ "µs"</c:formatCode>
                <c:ptCount val="32"/>
                <c:pt idx="1">
                  <c:v>0.97093273440000005</c:v>
                </c:pt>
                <c:pt idx="2">
                  <c:v>0.21171463905666699</c:v>
                </c:pt>
                <c:pt idx="3">
                  <c:v>0.18835534749632901</c:v>
                </c:pt>
                <c:pt idx="4">
                  <c:v>0</c:v>
                </c:pt>
                <c:pt idx="5">
                  <c:v>0.103410825171346</c:v>
                </c:pt>
                <c:pt idx="6">
                  <c:v>3.6761982803619697E-2</c:v>
                </c:pt>
                <c:pt idx="7">
                  <c:v>3.6655574067204003E-2</c:v>
                </c:pt>
                <c:pt idx="8">
                  <c:v>0</c:v>
                </c:pt>
                <c:pt idx="9">
                  <c:v>2.4102488791438899E-2</c:v>
                </c:pt>
                <c:pt idx="10">
                  <c:v>2.45314330595281E-2</c:v>
                </c:pt>
                <c:pt idx="11">
                  <c:v>3.4958814674215397E-2</c:v>
                </c:pt>
                <c:pt idx="12">
                  <c:v>0</c:v>
                </c:pt>
                <c:pt idx="13">
                  <c:v>0.67706326116118898</c:v>
                </c:pt>
                <c:pt idx="14">
                  <c:v>0.54818017018406395</c:v>
                </c:pt>
                <c:pt idx="15">
                  <c:v>0.64622274722166395</c:v>
                </c:pt>
                <c:pt idx="16">
                  <c:v>0</c:v>
                </c:pt>
                <c:pt idx="17">
                  <c:v>0.94704296454842596</c:v>
                </c:pt>
                <c:pt idx="18">
                  <c:v>0.20838438080142299</c:v>
                </c:pt>
                <c:pt idx="19">
                  <c:v>0.19418293401447201</c:v>
                </c:pt>
                <c:pt idx="20">
                  <c:v>0</c:v>
                </c:pt>
                <c:pt idx="21">
                  <c:v>0.13150433102065101</c:v>
                </c:pt>
                <c:pt idx="22">
                  <c:v>0.131700031852684</c:v>
                </c:pt>
                <c:pt idx="23">
                  <c:v>0.105873729434198</c:v>
                </c:pt>
                <c:pt idx="24">
                  <c:v>0</c:v>
                </c:pt>
                <c:pt idx="25">
                  <c:v>4.2095597416347698E-2</c:v>
                </c:pt>
                <c:pt idx="26">
                  <c:v>4.1717497413197697E-2</c:v>
                </c:pt>
                <c:pt idx="27">
                  <c:v>4.2353298419754097E-2</c:v>
                </c:pt>
                <c:pt idx="28">
                  <c:v>0</c:v>
                </c:pt>
                <c:pt idx="29">
                  <c:v>4.80397555081018E-2</c:v>
                </c:pt>
                <c:pt idx="30">
                  <c:v>4.8534191252670701E-2</c:v>
                </c:pt>
                <c:pt idx="31">
                  <c:v>4.6889958485377498E-2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33-4E0D-9691-781270DBE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187459"/>
        <c:axId val="375043563"/>
      </c:barChart>
      <c:catAx>
        <c:axId val="5461874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5043563"/>
        <c:crosses val="autoZero"/>
        <c:auto val="1"/>
        <c:lblAlgn val="ctr"/>
        <c:lblOffset val="100"/>
        <c:noMultiLvlLbl val="1"/>
      </c:catAx>
      <c:valAx>
        <c:axId val="375043563"/>
        <c:scaling>
          <c:orientation val="minMax"/>
          <c:max val="1.1000000000000001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Runtime (</a:t>
                </a: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μ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6187459"/>
        <c:crosses val="max"/>
        <c:crossBetween val="between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Weighted Average Number of SBC.CheckSBC and Simple.Intersects Calls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'simulation-2-summary'!$H$58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'simulation-2-summary'!$H$59:$H$61</c:f>
              <c:numCache>
                <c:formatCode>#,##0</c:formatCode>
                <c:ptCount val="3"/>
                <c:pt idx="0">
                  <c:v>101813177.11005799</c:v>
                </c:pt>
                <c:pt idx="1">
                  <c:v>3747496683.2628298</c:v>
                </c:pt>
                <c:pt idx="2">
                  <c:v>3131563450.96626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4-43B7-AD61-56CF8168F965}"/>
            </c:ext>
          </c:extLst>
        </c:ser>
        <c:ser>
          <c:idx val="1"/>
          <c:order val="1"/>
          <c:tx>
            <c:strRef>
              <c:f>'simulation-2-summary'!$K$58</c:f>
              <c:strCache>
                <c:ptCount val="1"/>
                <c:pt idx="0">
                  <c:v>Simple.Intersects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'simulation-2-summary'!$K$59:$K$61</c:f>
              <c:numCache>
                <c:formatCode>#,##0</c:formatCode>
                <c:ptCount val="3"/>
                <c:pt idx="0">
                  <c:v>13219664914.7845</c:v>
                </c:pt>
                <c:pt idx="1">
                  <c:v>9472168231.5217094</c:v>
                </c:pt>
                <c:pt idx="2">
                  <c:v>8816392602.8522491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4-43B7-AD61-56CF8168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785571"/>
        <c:axId val="2102229834"/>
      </c:barChart>
      <c:catAx>
        <c:axId val="1284785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Implementation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2229834"/>
        <c:crosses val="autoZero"/>
        <c:auto val="1"/>
        <c:lblAlgn val="ctr"/>
        <c:lblOffset val="100"/>
        <c:noMultiLvlLbl val="1"/>
      </c:catAx>
      <c:valAx>
        <c:axId val="2102229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Weighted Average Number of Calls</a:t>
                </a:r>
              </a:p>
            </c:rich>
          </c:tx>
          <c:overlay val="0"/>
        </c:title>
        <c:numFmt formatCode="0.00E+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7855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Weighted Average Number of Method Calls per Implementation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'simulation-2-summary'!$G$58</c:f>
              <c:strCache>
                <c:ptCount val="1"/>
                <c:pt idx="0">
                  <c:v>SBC.CheckSOBR 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'simulation-2-summary'!$G$59:$G$61</c:f>
              <c:numCache>
                <c:formatCode>#,##0</c:formatCode>
                <c:ptCount val="3"/>
                <c:pt idx="0">
                  <c:v>83618328.654538706</c:v>
                </c:pt>
                <c:pt idx="1">
                  <c:v>83618328.654538706</c:v>
                </c:pt>
                <c:pt idx="2">
                  <c:v>61242354.063821003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A-4CBA-A696-BDAD1985F830}"/>
            </c:ext>
          </c:extLst>
        </c:ser>
        <c:ser>
          <c:idx val="1"/>
          <c:order val="1"/>
          <c:tx>
            <c:strRef>
              <c:f>'simulation-2-summary'!$H$58</c:f>
              <c:strCache>
                <c:ptCount val="1"/>
                <c:pt idx="0">
                  <c:v>SBC.CheckSBC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0.00E+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'simulation-2-summary'!$H$59:$H$61</c:f>
              <c:numCache>
                <c:formatCode>#,##0</c:formatCode>
                <c:ptCount val="3"/>
                <c:pt idx="0">
                  <c:v>101813177.11005799</c:v>
                </c:pt>
                <c:pt idx="1">
                  <c:v>3747496683.2628298</c:v>
                </c:pt>
                <c:pt idx="2">
                  <c:v>3131563450.96626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A-4CBA-A696-BDAD1985F830}"/>
            </c:ext>
          </c:extLst>
        </c:ser>
        <c:ser>
          <c:idx val="2"/>
          <c:order val="2"/>
          <c:tx>
            <c:strRef>
              <c:f>'simulation-2-summary'!$I$58</c:f>
              <c:strCache>
                <c:ptCount val="1"/>
                <c:pt idx="0">
                  <c:v>SOBR.CheckSOBR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'simulation-2-summary'!$I$59:$I$61</c:f>
              <c:numCache>
                <c:formatCode>#,##0</c:formatCode>
                <c:ptCount val="3"/>
                <c:pt idx="0">
                  <c:v>46673860.187522799</c:v>
                </c:pt>
                <c:pt idx="1">
                  <c:v>46673860.187522799</c:v>
                </c:pt>
                <c:pt idx="2">
                  <c:v>59060190.186866097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A-4CBA-A696-BDAD1985F830}"/>
            </c:ext>
          </c:extLst>
        </c:ser>
        <c:ser>
          <c:idx val="3"/>
          <c:order val="3"/>
          <c:tx>
            <c:strRef>
              <c:f>'simulation-2-summary'!$J$58</c:f>
              <c:strCache>
                <c:ptCount val="1"/>
                <c:pt idx="0">
                  <c:v>SOBR.CheckSBC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'simulation-2-summary'!$J$59:$J$61</c:f>
              <c:numCache>
                <c:formatCode>#,##0</c:formatCode>
                <c:ptCount val="3"/>
                <c:pt idx="0">
                  <c:v>59288595.930113301</c:v>
                </c:pt>
                <c:pt idx="1">
                  <c:v>59288595.930113301</c:v>
                </c:pt>
                <c:pt idx="2">
                  <c:v>61044882.500277698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5A-4CBA-A696-BDAD1985F830}"/>
            </c:ext>
          </c:extLst>
        </c:ser>
        <c:ser>
          <c:idx val="4"/>
          <c:order val="4"/>
          <c:tx>
            <c:strRef>
              <c:f>'simulation-2-summary'!$L$58</c:f>
              <c:strCache>
                <c:ptCount val="1"/>
                <c:pt idx="0">
                  <c:v>CollisionTree.Contains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'simulation-2-summary'!$L$59:$L$61</c:f>
              <c:numCache>
                <c:formatCode>#,##0</c:formatCode>
                <c:ptCount val="3"/>
                <c:pt idx="0">
                  <c:v>221476842.12691799</c:v>
                </c:pt>
                <c:pt idx="1">
                  <c:v>221476842.12691799</c:v>
                </c:pt>
                <c:pt idx="2">
                  <c:v>193122432.617587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5A-4CBA-A696-BDAD1985F830}"/>
            </c:ext>
          </c:extLst>
        </c:ser>
        <c:ser>
          <c:idx val="5"/>
          <c:order val="5"/>
          <c:tx>
            <c:strRef>
              <c:f>'simulation-2-summary'!$K$58</c:f>
              <c:strCache>
                <c:ptCount val="1"/>
                <c:pt idx="0">
                  <c:v>Simple.Intersects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0.00E+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'simulation-2-summary'!$F$59:$F$61</c:f>
              <c:strCache>
                <c:ptCount val="3"/>
                <c:pt idx="0">
                  <c:v>Baseline</c:v>
                </c:pt>
                <c:pt idx="1">
                  <c:v>Artifact 1</c:v>
                </c:pt>
                <c:pt idx="2">
                  <c:v>Artifact 2</c:v>
                </c:pt>
              </c:strCache>
            </c:strRef>
          </c:cat>
          <c:val>
            <c:numRef>
              <c:f>'simulation-2-summary'!$K$59:$K$61</c:f>
              <c:numCache>
                <c:formatCode>#,##0</c:formatCode>
                <c:ptCount val="3"/>
                <c:pt idx="0">
                  <c:v>13219664914.7845</c:v>
                </c:pt>
                <c:pt idx="1">
                  <c:v>9472168231.5217094</c:v>
                </c:pt>
                <c:pt idx="2">
                  <c:v>8816392602.8522491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5A-4CBA-A696-BDAD1985F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238817"/>
        <c:axId val="461023838"/>
      </c:barChart>
      <c:catAx>
        <c:axId val="3472388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Implementation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1023838"/>
        <c:crosses val="autoZero"/>
        <c:auto val="1"/>
        <c:lblAlgn val="ctr"/>
        <c:lblOffset val="100"/>
        <c:noMultiLvlLbl val="1"/>
      </c:catAx>
      <c:valAx>
        <c:axId val="461023838"/>
        <c:scaling>
          <c:orientation val="minMax"/>
          <c:max val="250000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Weighted Average Number of Calls</a:t>
                </a:r>
              </a:p>
            </c:rich>
          </c:tx>
          <c:overlay val="0"/>
        </c:title>
        <c:numFmt formatCode="0.00E+0" sourceLinked="0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38817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Update Phase Runtime Comparison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'simulation-2-summary'!$G$2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'simulation-2-summary'!$F$3:$F$5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'simulation-2-summary'!$G$3:$G$5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0-47B6-A8E3-16654F62E199}"/>
            </c:ext>
          </c:extLst>
        </c:ser>
        <c:ser>
          <c:idx val="1"/>
          <c:order val="1"/>
          <c:tx>
            <c:strRef>
              <c:f>'simulation-2-summary'!$H$2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'simulation-2-summary'!$F$3:$F$5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'simulation-2-summary'!$H$3:$H$5</c:f>
              <c:numCache>
                <c:formatCode>0.00%</c:formatCode>
                <c:ptCount val="3"/>
                <c:pt idx="0">
                  <c:v>1.2181926266546954</c:v>
                </c:pt>
                <c:pt idx="1">
                  <c:v>1.3257915231799182</c:v>
                </c:pt>
                <c:pt idx="2">
                  <c:v>1.3106993353303711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0-47B6-A8E3-16654F62E199}"/>
            </c:ext>
          </c:extLst>
        </c:ser>
        <c:ser>
          <c:idx val="2"/>
          <c:order val="2"/>
          <c:tx>
            <c:strRef>
              <c:f>'simulation-2-summary'!$I$2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'simulation-2-summary'!$F$3:$F$5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'simulation-2-summary'!$I$3:$I$5</c:f>
              <c:numCache>
                <c:formatCode>0.00%</c:formatCode>
                <c:ptCount val="3"/>
                <c:pt idx="0">
                  <c:v>1.2080834265105946</c:v>
                </c:pt>
                <c:pt idx="1">
                  <c:v>1.294067800600373</c:v>
                </c:pt>
                <c:pt idx="2">
                  <c:v>1.2721382671937398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0-47B6-A8E3-16654F62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200338"/>
        <c:axId val="1159771389"/>
      </c:barChart>
      <c:catAx>
        <c:axId val="15402003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9771389"/>
        <c:crosses val="autoZero"/>
        <c:auto val="1"/>
        <c:lblAlgn val="ctr"/>
        <c:lblOffset val="100"/>
        <c:noMultiLvlLbl val="1"/>
      </c:catAx>
      <c:valAx>
        <c:axId val="1159771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020033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Narrow Phase Runtime Comparison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'simulation-2-summary'!$G$7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'simulation-2-summary'!$F$8:$F$10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'simulation-2-summary'!$G$8:$G$10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B-4BAC-9157-98018484195C}"/>
            </c:ext>
          </c:extLst>
        </c:ser>
        <c:ser>
          <c:idx val="1"/>
          <c:order val="1"/>
          <c:tx>
            <c:strRef>
              <c:f>'simulation-2-summary'!$H$7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'simulation-2-summary'!$F$8:$F$10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'simulation-2-summary'!$H$8:$H$10</c:f>
              <c:numCache>
                <c:formatCode>0.00%</c:formatCode>
                <c:ptCount val="3"/>
                <c:pt idx="0">
                  <c:v>0.40333456232431247</c:v>
                </c:pt>
                <c:pt idx="1">
                  <c:v>0.6458761256685992</c:v>
                </c:pt>
                <c:pt idx="2">
                  <c:v>1.2533685059269177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B-4BAC-9157-98018484195C}"/>
            </c:ext>
          </c:extLst>
        </c:ser>
        <c:ser>
          <c:idx val="2"/>
          <c:order val="2"/>
          <c:tx>
            <c:strRef>
              <c:f>'simulation-2-summary'!$I$7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'simulation-2-summary'!$F$8:$F$10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'simulation-2-summary'!$I$8:$I$10</c:f>
              <c:numCache>
                <c:formatCode>0.00%</c:formatCode>
                <c:ptCount val="3"/>
                <c:pt idx="0">
                  <c:v>0.38433583246371844</c:v>
                </c:pt>
                <c:pt idx="1">
                  <c:v>0.62938831373531701</c:v>
                </c:pt>
                <c:pt idx="2">
                  <c:v>1.1221511061256855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B-4BAC-9157-980184841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875521"/>
        <c:axId val="870417244"/>
      </c:barChart>
      <c:catAx>
        <c:axId val="6518755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0417244"/>
        <c:crosses val="autoZero"/>
        <c:auto val="1"/>
        <c:lblAlgn val="ctr"/>
        <c:lblOffset val="100"/>
        <c:noMultiLvlLbl val="1"/>
      </c:catAx>
      <c:valAx>
        <c:axId val="8704172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87552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Broad Phase Runtime Comparison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'simulation-2-summary'!$G$12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'simulation-2-summary'!$F$13:$F$15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'simulation-2-summary'!$G$13:$G$15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2-490F-9826-CCFFB837D3CD}"/>
            </c:ext>
          </c:extLst>
        </c:ser>
        <c:ser>
          <c:idx val="1"/>
          <c:order val="1"/>
          <c:tx>
            <c:strRef>
              <c:f>'simulation-2-summary'!$H$12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'simulation-2-summary'!$F$13:$F$15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'simulation-2-summary'!$H$13:$H$15</c:f>
              <c:numCache>
                <c:formatCode>0.00%</c:formatCode>
                <c:ptCount val="3"/>
                <c:pt idx="0">
                  <c:v>0.81121404124094898</c:v>
                </c:pt>
                <c:pt idx="1">
                  <c:v>0.76286425857644857</c:v>
                </c:pt>
                <c:pt idx="2">
                  <c:v>0.70871762834231689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2-490F-9826-CCFFB837D3CD}"/>
            </c:ext>
          </c:extLst>
        </c:ser>
        <c:ser>
          <c:idx val="2"/>
          <c:order val="2"/>
          <c:tx>
            <c:strRef>
              <c:f>'simulation-2-summary'!$I$12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'simulation-2-summary'!$F$13:$F$15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'simulation-2-summary'!$I$13:$I$15</c:f>
              <c:numCache>
                <c:formatCode>0.00%</c:formatCode>
                <c:ptCount val="3"/>
                <c:pt idx="0">
                  <c:v>0.66499811794831043</c:v>
                </c:pt>
                <c:pt idx="1">
                  <c:v>0.66615624995592826</c:v>
                </c:pt>
                <c:pt idx="2">
                  <c:v>0.66808958713964672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2-490F-9826-CCFFB837D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738796"/>
        <c:axId val="1440604463"/>
      </c:barChart>
      <c:catAx>
        <c:axId val="10497387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0604463"/>
        <c:crosses val="autoZero"/>
        <c:auto val="1"/>
        <c:lblAlgn val="ctr"/>
        <c:lblOffset val="100"/>
        <c:noMultiLvlLbl val="1"/>
      </c:catAx>
      <c:valAx>
        <c:axId val="14406044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9738796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Combined Runtime Comparison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'simulation-2-summary'!$G$17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'simulation-2-summary'!$F$18:$F$20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'simulation-2-summary'!$G$18:$G$20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4-49FF-B915-24328FFD5995}"/>
            </c:ext>
          </c:extLst>
        </c:ser>
        <c:ser>
          <c:idx val="1"/>
          <c:order val="1"/>
          <c:tx>
            <c:strRef>
              <c:f>'simulation-2-summary'!$H$17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'simulation-2-summary'!$F$18:$F$20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'simulation-2-summary'!$H$18:$H$20</c:f>
              <c:numCache>
                <c:formatCode>0.00%</c:formatCode>
                <c:ptCount val="3"/>
                <c:pt idx="0">
                  <c:v>0.59686206419245547</c:v>
                </c:pt>
                <c:pt idx="1">
                  <c:v>0.72665887552508424</c:v>
                </c:pt>
                <c:pt idx="2">
                  <c:v>0.82830285540319004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4-49FF-B915-24328FFD5995}"/>
            </c:ext>
          </c:extLst>
        </c:ser>
        <c:ser>
          <c:idx val="2"/>
          <c:order val="2"/>
          <c:tx>
            <c:strRef>
              <c:f>'simulation-2-summary'!$I$17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'simulation-2-summary'!$F$18:$F$20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'simulation-2-summary'!$I$18:$I$20</c:f>
              <c:numCache>
                <c:formatCode>0.00%</c:formatCode>
                <c:ptCount val="3"/>
                <c:pt idx="0">
                  <c:v>0.52846823831279888</c:v>
                </c:pt>
                <c:pt idx="1">
                  <c:v>0.66057162739133057</c:v>
                </c:pt>
                <c:pt idx="2">
                  <c:v>0.76915622592898736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4-49FF-B915-24328FFD5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984075"/>
        <c:axId val="1976079058"/>
      </c:barChart>
      <c:catAx>
        <c:axId val="2359840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6079058"/>
        <c:crosses val="autoZero"/>
        <c:auto val="1"/>
        <c:lblAlgn val="ctr"/>
        <c:lblOffset val="100"/>
        <c:noMultiLvlLbl val="1"/>
      </c:catAx>
      <c:valAx>
        <c:axId val="19760790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5984075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Total Runtime Comparison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'simulation-2-summary'!$G$22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'simulation-2-summary'!$F$23:$F$25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'simulation-2-summary'!$G$23:$G$25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97D-B09D-0E9A1A825A07}"/>
            </c:ext>
          </c:extLst>
        </c:ser>
        <c:ser>
          <c:idx val="1"/>
          <c:order val="1"/>
          <c:tx>
            <c:strRef>
              <c:f>'simulation-2-summary'!$H$22</c:f>
              <c:strCache>
                <c:ptCount val="1"/>
                <c:pt idx="0">
                  <c:v>Artifact 1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'simulation-2-summary'!$F$23:$F$25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'simulation-2-summary'!$H$23:$H$25</c:f>
              <c:numCache>
                <c:formatCode>0.00%</c:formatCode>
                <c:ptCount val="3"/>
                <c:pt idx="0">
                  <c:v>0.98331676123412892</c:v>
                </c:pt>
                <c:pt idx="1">
                  <c:v>0.92480614108619419</c:v>
                </c:pt>
                <c:pt idx="2">
                  <c:v>0.91586958268576013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97D-B09D-0E9A1A825A07}"/>
            </c:ext>
          </c:extLst>
        </c:ser>
        <c:ser>
          <c:idx val="2"/>
          <c:order val="2"/>
          <c:tx>
            <c:strRef>
              <c:f>'simulation-2-summary'!$I$22</c:f>
              <c:strCache>
                <c:ptCount val="1"/>
                <c:pt idx="0">
                  <c:v>Artifact 2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'simulation-2-summary'!$F$23:$F$25</c:f>
              <c:strCache>
                <c:ptCount val="3"/>
                <c:pt idx="0">
                  <c:v>Sequence 1</c:v>
                </c:pt>
                <c:pt idx="1">
                  <c:v>Sequence 2</c:v>
                </c:pt>
                <c:pt idx="2">
                  <c:v>Sequence 3</c:v>
                </c:pt>
              </c:strCache>
            </c:strRef>
          </c:cat>
          <c:val>
            <c:numRef>
              <c:f>'simulation-2-summary'!$I$23:$I$25</c:f>
              <c:numCache>
                <c:formatCode>0.00%</c:formatCode>
                <c:ptCount val="3"/>
                <c:pt idx="0">
                  <c:v>0.9848094347579629</c:v>
                </c:pt>
                <c:pt idx="1">
                  <c:v>0.84161868941781681</c:v>
                </c:pt>
                <c:pt idx="2">
                  <c:v>0.86818774933181042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97D-B09D-0E9A1A825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3849138"/>
        <c:axId val="1157660619"/>
      </c:barChart>
      <c:catAx>
        <c:axId val="21038491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7660619"/>
        <c:crosses val="autoZero"/>
        <c:auto val="1"/>
        <c:lblAlgn val="ctr"/>
        <c:lblOffset val="100"/>
        <c:noMultiLvlLbl val="1"/>
      </c:catAx>
      <c:valAx>
        <c:axId val="1157660619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384913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190500</xdr:rowOff>
    </xdr:from>
    <xdr:ext cx="6924675" cy="57816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238125</xdr:colOff>
      <xdr:row>34</xdr:row>
      <xdr:rowOff>171450</xdr:rowOff>
    </xdr:from>
    <xdr:ext cx="8277225" cy="26289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219075</xdr:colOff>
      <xdr:row>48</xdr:row>
      <xdr:rowOff>19050</xdr:rowOff>
    </xdr:from>
    <xdr:ext cx="4781550" cy="378142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190500</xdr:rowOff>
    </xdr:from>
    <xdr:ext cx="6924675" cy="577215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34</xdr:row>
      <xdr:rowOff>142875</xdr:rowOff>
    </xdr:from>
    <xdr:ext cx="8248650" cy="17621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257175</xdr:colOff>
      <xdr:row>43</xdr:row>
      <xdr:rowOff>133350</xdr:rowOff>
    </xdr:from>
    <xdr:ext cx="4838700" cy="38004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100-00000A000000}"/>
            </a:ext>
            <a:ext uri="{147F2762-F138-4A5C-976F-8EAC2B608ADB}">
              <a16:predDERef xmlns:a16="http://schemas.microsoft.com/office/drawing/2014/main" pre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190500</xdr:rowOff>
    </xdr:from>
    <xdr:ext cx="6924675" cy="57912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257175</xdr:colOff>
      <xdr:row>34</xdr:row>
      <xdr:rowOff>180975</xdr:rowOff>
    </xdr:from>
    <xdr:ext cx="8248650" cy="16002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790575</xdr:colOff>
      <xdr:row>44</xdr:row>
      <xdr:rowOff>171450</xdr:rowOff>
    </xdr:from>
    <xdr:ext cx="6305550" cy="33528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266700</xdr:colOff>
      <xdr:row>43</xdr:row>
      <xdr:rowOff>28575</xdr:rowOff>
    </xdr:from>
    <xdr:ext cx="5172075" cy="378142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  <a:ext uri="{147F2762-F138-4A5C-976F-8EAC2B608ADB}">
              <a16:predDERef xmlns:a16="http://schemas.microsoft.com/office/drawing/2014/main" pre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0</xdr:row>
      <xdr:rowOff>0</xdr:rowOff>
    </xdr:from>
    <xdr:ext cx="8572500" cy="1132522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885825</xdr:colOff>
      <xdr:row>0</xdr:row>
      <xdr:rowOff>0</xdr:rowOff>
    </xdr:from>
    <xdr:ext cx="8677275" cy="1132522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109</xdr:row>
      <xdr:rowOff>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73</xdr:row>
      <xdr:rowOff>95250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47625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35</xdr:col>
      <xdr:colOff>133350</xdr:colOff>
      <xdr:row>1</xdr:row>
      <xdr:rowOff>57150</xdr:rowOff>
    </xdr:from>
    <xdr:ext cx="3543300" cy="332422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31</xdr:col>
      <xdr:colOff>438150</xdr:colOff>
      <xdr:row>17</xdr:row>
      <xdr:rowOff>180975</xdr:rowOff>
    </xdr:from>
    <xdr:ext cx="3543300" cy="332422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31</xdr:col>
      <xdr:colOff>438150</xdr:colOff>
      <xdr:row>1</xdr:row>
      <xdr:rowOff>57150</xdr:rowOff>
    </xdr:from>
    <xdr:ext cx="3543300" cy="332422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190500</xdr:rowOff>
    </xdr:from>
    <xdr:ext cx="6924675" cy="57435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276225</xdr:colOff>
      <xdr:row>34</xdr:row>
      <xdr:rowOff>171450</xdr:rowOff>
    </xdr:from>
    <xdr:ext cx="8220075" cy="225742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400-000015000000}"/>
            </a:ext>
            <a:ext uri="{147F2762-F138-4A5C-976F-8EAC2B608ADB}">
              <a16:predDERef xmlns:a16="http://schemas.microsoft.com/office/drawing/2014/main" pre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400050</xdr:colOff>
      <xdr:row>46</xdr:row>
      <xdr:rowOff>190500</xdr:rowOff>
    </xdr:from>
    <xdr:ext cx="4905375" cy="378142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400-000018000000}"/>
            </a:ext>
            <a:ext uri="{147F2762-F138-4A5C-976F-8EAC2B608ADB}">
              <a16:predDERef xmlns:a16="http://schemas.microsoft.com/office/drawing/2014/main" pre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190500</xdr:rowOff>
    </xdr:from>
    <xdr:ext cx="6924675" cy="57435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447675</xdr:colOff>
      <xdr:row>34</xdr:row>
      <xdr:rowOff>161925</xdr:rowOff>
    </xdr:from>
    <xdr:ext cx="8229600" cy="1733550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500-000014000000}"/>
            </a:ext>
            <a:ext uri="{147F2762-F138-4A5C-976F-8EAC2B608ADB}">
              <a16:predDERef xmlns:a16="http://schemas.microsoft.com/office/drawing/2014/main" pre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504825</xdr:colOff>
      <xdr:row>44</xdr:row>
      <xdr:rowOff>180975</xdr:rowOff>
    </xdr:from>
    <xdr:ext cx="4914900" cy="378142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500-000017000000}"/>
            </a:ext>
            <a:ext uri="{147F2762-F138-4A5C-976F-8EAC2B608ADB}">
              <a16:predDERef xmlns:a16="http://schemas.microsoft.com/office/drawing/2014/main" pre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190500</xdr:rowOff>
    </xdr:from>
    <xdr:ext cx="6924675" cy="57435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381000</xdr:colOff>
      <xdr:row>35</xdr:row>
      <xdr:rowOff>19050</xdr:rowOff>
    </xdr:from>
    <xdr:ext cx="8239125" cy="181927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0600-00001A000000}"/>
            </a:ext>
            <a:ext uri="{147F2762-F138-4A5C-976F-8EAC2B608ADB}">
              <a16:predDERef xmlns:a16="http://schemas.microsoft.com/office/drawing/2014/main" pred="{00000000-0008-0000-0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390525</xdr:colOff>
      <xdr:row>44</xdr:row>
      <xdr:rowOff>76200</xdr:rowOff>
    </xdr:from>
    <xdr:ext cx="4676775" cy="3781425"/>
    <xdr:graphicFrame macro="">
      <xdr:nvGraphicFramePr>
        <xdr:cNvPr id="27" name="Chart 27" title="Chart">
          <a:extLst>
            <a:ext uri="{FF2B5EF4-FFF2-40B4-BE49-F238E27FC236}">
              <a16:creationId xmlns:a16="http://schemas.microsoft.com/office/drawing/2014/main" id="{00000000-0008-0000-0600-00001B000000}"/>
            </a:ext>
            <a:ext uri="{147F2762-F138-4A5C-976F-8EAC2B608ADB}">
              <a16:predDERef xmlns:a16="http://schemas.microsoft.com/office/drawing/2014/main" pred="{00000000-0008-0000-0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685800</xdr:colOff>
      <xdr:row>0</xdr:row>
      <xdr:rowOff>0</xdr:rowOff>
    </xdr:from>
    <xdr:ext cx="7467600" cy="8448675"/>
    <xdr:graphicFrame macro="">
      <xdr:nvGraphicFramePr>
        <xdr:cNvPr id="28" name="Chart 28" title="Chart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447675</xdr:colOff>
      <xdr:row>67</xdr:row>
      <xdr:rowOff>57150</xdr:rowOff>
    </xdr:from>
    <xdr:ext cx="5191125" cy="5200650"/>
    <xdr:graphicFrame macro="">
      <xdr:nvGraphicFramePr>
        <xdr:cNvPr id="29" name="Chart 29" title="Chart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2276475</xdr:colOff>
      <xdr:row>67</xdr:row>
      <xdr:rowOff>57150</xdr:rowOff>
    </xdr:from>
    <xdr:ext cx="6200775" cy="5200650"/>
    <xdr:graphicFrame macro="">
      <xdr:nvGraphicFramePr>
        <xdr:cNvPr id="30" name="Chart 30" title="Chart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19</xdr:col>
      <xdr:colOff>514350</xdr:colOff>
      <xdr:row>10</xdr:row>
      <xdr:rowOff>85725</xdr:rowOff>
    </xdr:from>
    <xdr:ext cx="4352925" cy="2076450"/>
    <xdr:graphicFrame macro="">
      <xdr:nvGraphicFramePr>
        <xdr:cNvPr id="31" name="Chart 31" title="Chart">
          <a:extLst>
            <a:ext uri="{FF2B5EF4-FFF2-40B4-BE49-F238E27FC236}">
              <a16:creationId xmlns:a16="http://schemas.microsoft.com/office/drawing/2014/main" id="{00000000-0008-0000-0700-00001F000000}"/>
            </a:ext>
            <a:ext uri="{147F2762-F138-4A5C-976F-8EAC2B608ADB}">
              <a16:predDERef xmlns:a16="http://schemas.microsoft.com/office/drawing/2014/main" pred="{00000000-0008-0000-07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704850</xdr:colOff>
      <xdr:row>10</xdr:row>
      <xdr:rowOff>95250</xdr:rowOff>
    </xdr:from>
    <xdr:ext cx="4352925" cy="2076450"/>
    <xdr:graphicFrame macro="">
      <xdr:nvGraphicFramePr>
        <xdr:cNvPr id="32" name="Chart 32" title="Chart">
          <a:extLst>
            <a:ext uri="{FF2B5EF4-FFF2-40B4-BE49-F238E27FC236}">
              <a16:creationId xmlns:a16="http://schemas.microsoft.com/office/drawing/2014/main" id="{00000000-0008-0000-0700-000020000000}"/>
            </a:ext>
            <a:ext uri="{147F2762-F138-4A5C-976F-8EAC2B608ADB}">
              <a16:predDERef xmlns:a16="http://schemas.microsoft.com/office/drawing/2014/main" pred="{00000000-0008-0000-07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466725</xdr:colOff>
      <xdr:row>21</xdr:row>
      <xdr:rowOff>0</xdr:rowOff>
    </xdr:from>
    <xdr:ext cx="4352925" cy="2076450"/>
    <xdr:graphicFrame macro="">
      <xdr:nvGraphicFramePr>
        <xdr:cNvPr id="33" name="Chart 33" title="Chart">
          <a:extLst>
            <a:ext uri="{FF2B5EF4-FFF2-40B4-BE49-F238E27FC236}">
              <a16:creationId xmlns:a16="http://schemas.microsoft.com/office/drawing/2014/main" id="{00000000-0008-0000-0700-000021000000}"/>
            </a:ext>
            <a:ext uri="{147F2762-F138-4A5C-976F-8EAC2B608ADB}">
              <a16:predDERef xmlns:a16="http://schemas.microsoft.com/office/drawing/2014/main" pred="{00000000-0008-0000-07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19</xdr:col>
      <xdr:colOff>561975</xdr:colOff>
      <xdr:row>0</xdr:row>
      <xdr:rowOff>0</xdr:rowOff>
    </xdr:from>
    <xdr:ext cx="8705850" cy="2076450"/>
    <xdr:graphicFrame macro="">
      <xdr:nvGraphicFramePr>
        <xdr:cNvPr id="34" name="Chart 34" title="Chart">
          <a:extLst>
            <a:ext uri="{FF2B5EF4-FFF2-40B4-BE49-F238E27FC236}">
              <a16:creationId xmlns:a16="http://schemas.microsoft.com/office/drawing/2014/main" id="{00000000-0008-0000-0700-000022000000}"/>
            </a:ext>
            <a:ext uri="{147F2762-F138-4A5C-976F-8EAC2B608ADB}">
              <a16:predDERef xmlns:a16="http://schemas.microsoft.com/office/drawing/2014/main" pred="{00000000-0008-0000-07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24</xdr:col>
      <xdr:colOff>714375</xdr:colOff>
      <xdr:row>20</xdr:row>
      <xdr:rowOff>171450</xdr:rowOff>
    </xdr:from>
    <xdr:ext cx="4352925" cy="2076450"/>
    <xdr:graphicFrame macro="">
      <xdr:nvGraphicFramePr>
        <xdr:cNvPr id="35" name="Chart 35" title="Chart">
          <a:extLst>
            <a:ext uri="{FF2B5EF4-FFF2-40B4-BE49-F238E27FC236}">
              <a16:creationId xmlns:a16="http://schemas.microsoft.com/office/drawing/2014/main" id="{00000000-0008-0000-0700-000023000000}"/>
            </a:ext>
            <a:ext uri="{147F2762-F138-4A5C-976F-8EAC2B608ADB}">
              <a16:predDERef xmlns:a16="http://schemas.microsoft.com/office/drawing/2014/main" pred="{00000000-0008-0000-07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5"/>
  <sheetViews>
    <sheetView tabSelected="1" workbookViewId="0">
      <selection activeCell="U39" sqref="U39"/>
    </sheetView>
  </sheetViews>
  <sheetFormatPr defaultColWidth="12.5703125" defaultRowHeight="15.75" customHeight="1"/>
  <cols>
    <col min="1" max="1" width="23" customWidth="1"/>
    <col min="2" max="2" width="14.5703125" customWidth="1"/>
    <col min="10" max="10" width="12.5703125" customWidth="1"/>
    <col min="15" max="16" width="12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>
      <c r="A2" s="1" t="s">
        <v>5</v>
      </c>
      <c r="B2" s="1" t="s">
        <v>6</v>
      </c>
      <c r="C2" s="1">
        <v>570628.80000000005</v>
      </c>
      <c r="D2" s="1">
        <v>4332776</v>
      </c>
      <c r="E2" s="1">
        <v>0.13170050794225199</v>
      </c>
      <c r="F2" s="2" t="s">
        <v>7</v>
      </c>
      <c r="G2" s="2" t="s">
        <v>8</v>
      </c>
      <c r="H2" s="2">
        <v>4347972.9000000004</v>
      </c>
      <c r="I2" s="2">
        <v>4332776</v>
      </c>
      <c r="J2" s="2">
        <v>1.00350742803228</v>
      </c>
      <c r="K2" s="3" t="s">
        <v>9</v>
      </c>
      <c r="L2" s="3" t="s">
        <v>10</v>
      </c>
      <c r="M2" s="3">
        <v>1025448.1</v>
      </c>
      <c r="N2" s="3">
        <v>4332776</v>
      </c>
      <c r="O2" s="3">
        <v>0.23667230893081001</v>
      </c>
    </row>
    <row r="3" spans="1:15">
      <c r="A3" s="1" t="s">
        <v>5</v>
      </c>
      <c r="B3" s="1" t="s">
        <v>11</v>
      </c>
      <c r="C3" s="1">
        <v>192951.9</v>
      </c>
      <c r="D3" s="1">
        <v>3836730</v>
      </c>
      <c r="E3" s="1">
        <v>5.0290716313110398E-2</v>
      </c>
      <c r="F3" s="2" t="s">
        <v>7</v>
      </c>
      <c r="G3" s="2" t="s">
        <v>12</v>
      </c>
      <c r="H3" s="2">
        <v>434425.1</v>
      </c>
      <c r="I3" s="2">
        <v>3836730</v>
      </c>
      <c r="J3" s="2">
        <v>0.11322795714058601</v>
      </c>
      <c r="K3" s="3" t="s">
        <v>9</v>
      </c>
      <c r="L3" s="3" t="s">
        <v>13</v>
      </c>
      <c r="M3" s="3">
        <v>172325.2</v>
      </c>
      <c r="N3" s="3">
        <v>3836730</v>
      </c>
      <c r="O3" s="3">
        <v>4.49146017572256E-2</v>
      </c>
    </row>
    <row r="4" spans="1:15">
      <c r="A4" s="1" t="s">
        <v>5</v>
      </c>
      <c r="B4" s="1" t="s">
        <v>14</v>
      </c>
      <c r="C4" s="1">
        <v>109328.2</v>
      </c>
      <c r="D4" s="1">
        <v>562810</v>
      </c>
      <c r="E4" s="1">
        <v>0.194254188802615</v>
      </c>
      <c r="F4" s="2" t="s">
        <v>7</v>
      </c>
      <c r="G4" s="2" t="s">
        <v>14</v>
      </c>
      <c r="H4" s="2">
        <v>107583.9</v>
      </c>
      <c r="I4" s="2">
        <v>562810</v>
      </c>
      <c r="J4" s="2">
        <v>0.191154919066825</v>
      </c>
      <c r="K4" s="3" t="s">
        <v>9</v>
      </c>
      <c r="L4" s="3" t="s">
        <v>14</v>
      </c>
      <c r="M4" s="3">
        <v>111478.1</v>
      </c>
      <c r="N4" s="3">
        <v>562810</v>
      </c>
      <c r="O4" s="3">
        <v>0.198074128036105</v>
      </c>
    </row>
    <row r="5" spans="1:15">
      <c r="A5" s="1" t="s">
        <v>5</v>
      </c>
      <c r="B5" s="1" t="s">
        <v>15</v>
      </c>
      <c r="C5" s="1">
        <v>39974</v>
      </c>
      <c r="D5" s="1">
        <v>562810</v>
      </c>
      <c r="E5" s="1">
        <v>7.1025745811197402E-2</v>
      </c>
      <c r="F5" s="2" t="s">
        <v>7</v>
      </c>
      <c r="G5" s="2" t="s">
        <v>15</v>
      </c>
      <c r="H5" s="2">
        <v>36014.699999999997</v>
      </c>
      <c r="I5" s="2">
        <v>562810</v>
      </c>
      <c r="J5" s="2">
        <v>6.3990867255379294E-2</v>
      </c>
      <c r="K5" s="3" t="s">
        <v>9</v>
      </c>
      <c r="L5" s="3" t="s">
        <v>15</v>
      </c>
      <c r="M5" s="3">
        <v>37366.9</v>
      </c>
      <c r="N5" s="3">
        <v>562810</v>
      </c>
      <c r="O5" s="3">
        <v>6.6393454274089006E-2</v>
      </c>
    </row>
    <row r="6" spans="1:15">
      <c r="A6" s="1" t="s">
        <v>5</v>
      </c>
      <c r="B6" s="1" t="s">
        <v>16</v>
      </c>
      <c r="C6" s="1">
        <v>20360.400000000001</v>
      </c>
      <c r="D6" s="1">
        <v>562810</v>
      </c>
      <c r="E6" s="1">
        <v>3.6176329489525802E-2</v>
      </c>
      <c r="F6" s="2" t="s">
        <v>7</v>
      </c>
      <c r="G6" s="2" t="s">
        <v>16</v>
      </c>
      <c r="H6" s="2">
        <v>21611.8</v>
      </c>
      <c r="I6" s="2">
        <v>562810</v>
      </c>
      <c r="J6" s="2">
        <v>3.8399815212949301E-2</v>
      </c>
      <c r="K6" s="3" t="s">
        <v>9</v>
      </c>
      <c r="L6" s="3" t="s">
        <v>16</v>
      </c>
      <c r="M6" s="3">
        <v>22486.400000000001</v>
      </c>
      <c r="N6" s="3">
        <v>562810</v>
      </c>
      <c r="O6" s="3">
        <v>3.9953803237327001E-2</v>
      </c>
    </row>
    <row r="7" spans="1:15">
      <c r="A7" s="1" t="s">
        <v>5</v>
      </c>
      <c r="B7" s="1" t="s">
        <v>17</v>
      </c>
      <c r="C7" s="1">
        <v>16478.599999999999</v>
      </c>
      <c r="D7" s="1">
        <v>562810</v>
      </c>
      <c r="E7" s="1">
        <v>2.9279152822444501E-2</v>
      </c>
      <c r="F7" s="2" t="s">
        <v>7</v>
      </c>
      <c r="G7" s="2" t="s">
        <v>17</v>
      </c>
      <c r="H7" s="2">
        <v>15653.9</v>
      </c>
      <c r="I7" s="2">
        <v>562810</v>
      </c>
      <c r="J7" s="2">
        <v>2.7813827046427701E-2</v>
      </c>
      <c r="K7" s="3" t="s">
        <v>9</v>
      </c>
      <c r="L7" s="3" t="s">
        <v>17</v>
      </c>
      <c r="M7" s="3">
        <v>16074.6</v>
      </c>
      <c r="N7" s="3">
        <v>562810</v>
      </c>
      <c r="O7" s="3">
        <v>2.85613262024484E-2</v>
      </c>
    </row>
    <row r="8" spans="1:15">
      <c r="A8" s="1" t="s">
        <v>18</v>
      </c>
      <c r="B8" s="1" t="s">
        <v>6</v>
      </c>
      <c r="C8" s="1">
        <v>3239968.2</v>
      </c>
      <c r="D8" s="1">
        <v>1837830</v>
      </c>
      <c r="E8" s="1">
        <v>1.7629313919132901</v>
      </c>
      <c r="F8" s="2" t="s">
        <v>19</v>
      </c>
      <c r="G8" s="2" t="s">
        <v>8</v>
      </c>
      <c r="H8" s="2">
        <v>1341359.6000000001</v>
      </c>
      <c r="I8" s="2">
        <v>1837830</v>
      </c>
      <c r="J8" s="2">
        <v>0.72986054205231199</v>
      </c>
      <c r="K8" s="3" t="s">
        <v>20</v>
      </c>
      <c r="L8" s="3" t="s">
        <v>10</v>
      </c>
      <c r="M8" s="3">
        <v>1132940.3999999999</v>
      </c>
      <c r="N8" s="3">
        <v>1837830</v>
      </c>
      <c r="O8" s="3">
        <v>0.61645549370725305</v>
      </c>
    </row>
    <row r="9" spans="1:15">
      <c r="A9" s="1" t="s">
        <v>18</v>
      </c>
      <c r="B9" s="1" t="s">
        <v>11</v>
      </c>
      <c r="C9" s="1">
        <v>267931.40000000002</v>
      </c>
      <c r="D9" s="1">
        <v>2034414</v>
      </c>
      <c r="E9" s="1">
        <v>0.131699545913467</v>
      </c>
      <c r="F9" s="2" t="s">
        <v>19</v>
      </c>
      <c r="G9" s="2" t="s">
        <v>12</v>
      </c>
      <c r="H9" s="2">
        <v>2176276.2000000002</v>
      </c>
      <c r="I9" s="2">
        <v>2034414</v>
      </c>
      <c r="J9" s="2">
        <v>1.0697312346454599</v>
      </c>
      <c r="K9" s="3" t="s">
        <v>20</v>
      </c>
      <c r="L9" s="3" t="s">
        <v>13</v>
      </c>
      <c r="M9" s="3">
        <v>515506.8</v>
      </c>
      <c r="N9" s="3">
        <v>2034414</v>
      </c>
      <c r="O9" s="3">
        <v>0.25339326213838498</v>
      </c>
    </row>
    <row r="10" spans="1:15">
      <c r="A10" s="1" t="s">
        <v>18</v>
      </c>
      <c r="B10" s="1" t="s">
        <v>14</v>
      </c>
      <c r="C10" s="1">
        <v>112653.6</v>
      </c>
      <c r="D10" s="1">
        <v>559700</v>
      </c>
      <c r="E10" s="1">
        <v>0.20127496873324999</v>
      </c>
      <c r="F10" s="2" t="s">
        <v>19</v>
      </c>
      <c r="G10" s="2" t="s">
        <v>14</v>
      </c>
      <c r="H10" s="2">
        <v>264517.59999999998</v>
      </c>
      <c r="I10" s="2">
        <v>559700</v>
      </c>
      <c r="J10" s="2">
        <v>0.47260603894943698</v>
      </c>
      <c r="K10" s="3" t="s">
        <v>20</v>
      </c>
      <c r="L10" s="3" t="s">
        <v>14</v>
      </c>
      <c r="M10" s="3">
        <v>416644.7</v>
      </c>
      <c r="N10" s="3">
        <v>559700</v>
      </c>
      <c r="O10" s="3">
        <v>0.74440718241915305</v>
      </c>
    </row>
    <row r="11" spans="1:15">
      <c r="A11" s="1" t="s">
        <v>18</v>
      </c>
      <c r="B11" s="1" t="s">
        <v>15</v>
      </c>
      <c r="C11" s="1">
        <v>45414.3</v>
      </c>
      <c r="D11" s="1">
        <v>559700</v>
      </c>
      <c r="E11" s="1">
        <v>8.1140432374486302E-2</v>
      </c>
      <c r="F11" s="2" t="s">
        <v>19</v>
      </c>
      <c r="G11" s="2" t="s">
        <v>15</v>
      </c>
      <c r="H11" s="2">
        <v>47588.2</v>
      </c>
      <c r="I11" s="2">
        <v>559700</v>
      </c>
      <c r="J11" s="2">
        <v>8.5024477398606399E-2</v>
      </c>
      <c r="K11" s="3" t="s">
        <v>20</v>
      </c>
      <c r="L11" s="3" t="s">
        <v>15</v>
      </c>
      <c r="M11" s="3">
        <v>46025.1</v>
      </c>
      <c r="N11" s="3">
        <v>559700</v>
      </c>
      <c r="O11" s="3">
        <v>8.2231731284616805E-2</v>
      </c>
    </row>
    <row r="12" spans="1:15">
      <c r="A12" s="1" t="s">
        <v>18</v>
      </c>
      <c r="B12" s="1" t="s">
        <v>16</v>
      </c>
      <c r="C12" s="1">
        <v>22847.3</v>
      </c>
      <c r="D12" s="1">
        <v>559700</v>
      </c>
      <c r="E12" s="1">
        <v>4.08206181883152E-2</v>
      </c>
      <c r="F12" s="2" t="s">
        <v>19</v>
      </c>
      <c r="G12" s="2" t="s">
        <v>16</v>
      </c>
      <c r="H12" s="2">
        <v>26758</v>
      </c>
      <c r="I12" s="2">
        <v>559700</v>
      </c>
      <c r="J12" s="2">
        <v>4.7807754154011103E-2</v>
      </c>
      <c r="K12" s="3" t="s">
        <v>20</v>
      </c>
      <c r="L12" s="3" t="s">
        <v>16</v>
      </c>
      <c r="M12" s="3">
        <v>27609.9</v>
      </c>
      <c r="N12" s="3">
        <v>559700</v>
      </c>
      <c r="O12" s="3">
        <v>4.9329819546185497E-2</v>
      </c>
    </row>
    <row r="13" spans="1:15">
      <c r="A13" s="1" t="s">
        <v>18</v>
      </c>
      <c r="B13" s="1" t="s">
        <v>17</v>
      </c>
      <c r="C13" s="1">
        <v>93576.2</v>
      </c>
      <c r="D13" s="1">
        <v>559700</v>
      </c>
      <c r="E13" s="1">
        <v>0.167189923173128</v>
      </c>
      <c r="F13" s="2" t="s">
        <v>19</v>
      </c>
      <c r="G13" s="2" t="s">
        <v>17</v>
      </c>
      <c r="H13" s="2">
        <v>90399.3</v>
      </c>
      <c r="I13" s="2">
        <v>559700</v>
      </c>
      <c r="J13" s="2">
        <v>0.16151384670359101</v>
      </c>
      <c r="K13" s="3" t="s">
        <v>20</v>
      </c>
      <c r="L13" s="3" t="s">
        <v>17</v>
      </c>
      <c r="M13" s="3">
        <v>94168.9</v>
      </c>
      <c r="N13" s="3">
        <v>559700</v>
      </c>
      <c r="O13" s="3">
        <v>0.16824888333035601</v>
      </c>
    </row>
    <row r="14" spans="1:15">
      <c r="A14" s="1" t="s">
        <v>21</v>
      </c>
      <c r="B14" s="1" t="s">
        <v>22</v>
      </c>
      <c r="C14" s="1">
        <v>5363115.5999999996</v>
      </c>
      <c r="D14" s="1">
        <v>95563430</v>
      </c>
      <c r="E14" s="1">
        <v>5.6121003609853698E-2</v>
      </c>
      <c r="F14" s="2" t="s">
        <v>21</v>
      </c>
      <c r="G14" s="2" t="s">
        <v>22</v>
      </c>
      <c r="H14" s="2">
        <v>5269915.5</v>
      </c>
      <c r="I14" s="2">
        <v>95563430</v>
      </c>
      <c r="J14" s="2">
        <v>5.5145734095144998E-2</v>
      </c>
      <c r="K14" s="3" t="s">
        <v>21</v>
      </c>
      <c r="L14" s="3" t="s">
        <v>22</v>
      </c>
      <c r="M14" s="3">
        <v>5415793.9000000004</v>
      </c>
      <c r="N14" s="3">
        <v>95563430</v>
      </c>
      <c r="O14" s="3">
        <v>5.6672242718788998E-2</v>
      </c>
    </row>
    <row r="15" spans="1:15">
      <c r="A15" s="1" t="s">
        <v>23</v>
      </c>
      <c r="B15" s="1" t="s">
        <v>24</v>
      </c>
      <c r="C15" s="1">
        <v>464040.8</v>
      </c>
      <c r="D15" s="1">
        <v>8540580</v>
      </c>
      <c r="E15" s="1">
        <v>5.4333640104067903E-2</v>
      </c>
      <c r="F15" s="2" t="s">
        <v>23</v>
      </c>
      <c r="G15" s="2" t="s">
        <v>24</v>
      </c>
      <c r="H15" s="2">
        <v>455219.5</v>
      </c>
      <c r="I15" s="2">
        <v>8540580</v>
      </c>
      <c r="J15" s="2">
        <v>5.3300771142006799E-2</v>
      </c>
      <c r="K15" s="3" t="s">
        <v>23</v>
      </c>
      <c r="L15" s="3" t="s">
        <v>24</v>
      </c>
      <c r="M15" s="3">
        <v>469244.3</v>
      </c>
      <c r="N15" s="3">
        <v>8540580</v>
      </c>
      <c r="O15" s="3">
        <v>5.4942907858716902E-2</v>
      </c>
    </row>
    <row r="16" spans="1:15">
      <c r="A16" s="1" t="s">
        <v>25</v>
      </c>
      <c r="B16" s="1" t="s">
        <v>26</v>
      </c>
      <c r="C16" s="1">
        <v>10559269.300000001</v>
      </c>
      <c r="D16" s="1">
        <v>120635800</v>
      </c>
      <c r="E16" s="1">
        <v>8.7530146938139403E-2</v>
      </c>
      <c r="F16" s="2" t="s">
        <v>25</v>
      </c>
      <c r="G16" s="2" t="s">
        <v>26</v>
      </c>
      <c r="H16" s="2">
        <v>14635296.199999999</v>
      </c>
      <c r="I16" s="2">
        <v>120635800</v>
      </c>
      <c r="J16" s="2">
        <v>0.121318018366024</v>
      </c>
      <c r="K16" s="3" t="s">
        <v>25</v>
      </c>
      <c r="L16" s="3" t="s">
        <v>26</v>
      </c>
      <c r="M16" s="3">
        <v>9503113.3000000007</v>
      </c>
      <c r="N16" s="3">
        <v>120635800</v>
      </c>
      <c r="O16" s="3">
        <v>7.8775233388430302E-2</v>
      </c>
    </row>
    <row r="17" spans="1:21">
      <c r="A17" s="1" t="s">
        <v>27</v>
      </c>
      <c r="B17" s="1"/>
      <c r="C17" s="1">
        <v>182740582.40000001</v>
      </c>
      <c r="D17" s="1"/>
      <c r="E17" s="1"/>
      <c r="F17" s="2" t="s">
        <v>27</v>
      </c>
      <c r="G17" s="2"/>
      <c r="H17" s="2">
        <v>182509568</v>
      </c>
      <c r="I17" s="2"/>
      <c r="J17" s="2"/>
      <c r="K17" s="3" t="s">
        <v>27</v>
      </c>
      <c r="L17" s="3"/>
      <c r="M17" s="3">
        <v>182620979.19999999</v>
      </c>
      <c r="N17" s="3"/>
      <c r="O17" s="3"/>
    </row>
    <row r="19" spans="1:21">
      <c r="A19" s="4" t="s">
        <v>0</v>
      </c>
      <c r="B19" s="1" t="s">
        <v>28</v>
      </c>
      <c r="C19" s="2" t="s">
        <v>29</v>
      </c>
      <c r="D19" s="3" t="s">
        <v>30</v>
      </c>
      <c r="F19" s="4" t="s">
        <v>1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4" t="s">
        <v>44</v>
      </c>
    </row>
    <row r="20" spans="1:21">
      <c r="A20" s="4" t="s">
        <v>31</v>
      </c>
      <c r="B20" s="5">
        <f t="array" ref="B20:B34">$E$2:$E$16</f>
        <v>0.13170050794225199</v>
      </c>
      <c r="C20" s="6">
        <f t="array" ref="C20:C34">$J$2:$J$16</f>
        <v>1.00350742803228</v>
      </c>
      <c r="D20" s="7">
        <f t="array" ref="D20:D34">$O$2:$O$16</f>
        <v>0.23667230893081001</v>
      </c>
      <c r="F20" s="1" t="s">
        <v>28</v>
      </c>
      <c r="G20" s="8">
        <f t="array" ref="G20:T20">TRANSPOSE($C$2:$C$15/1000000)</f>
        <v>0.57062880000000005</v>
      </c>
      <c r="H20" s="8">
        <v>0.19295189999999998</v>
      </c>
      <c r="I20" s="8">
        <v>0.1093282</v>
      </c>
      <c r="J20" s="8">
        <v>3.9974000000000003E-2</v>
      </c>
      <c r="K20" s="8">
        <v>2.0360400000000001E-2</v>
      </c>
      <c r="L20" s="8">
        <v>1.6478599999999999E-2</v>
      </c>
      <c r="M20" s="8">
        <v>3.2399682000000003</v>
      </c>
      <c r="N20" s="8">
        <v>0.26793140000000004</v>
      </c>
      <c r="O20" s="8">
        <v>0.11265360000000001</v>
      </c>
      <c r="P20" s="8">
        <v>4.5414300000000005E-2</v>
      </c>
      <c r="Q20" s="8">
        <v>2.2847300000000001E-2</v>
      </c>
      <c r="R20" s="8">
        <v>9.3576199999999998E-2</v>
      </c>
      <c r="S20" s="8">
        <v>5.3631155999999995</v>
      </c>
      <c r="T20" s="8">
        <v>0.46404079999999998</v>
      </c>
    </row>
    <row r="21" spans="1:21">
      <c r="A21" s="4" t="s">
        <v>32</v>
      </c>
      <c r="B21" s="5">
        <v>5.0290716313110398E-2</v>
      </c>
      <c r="C21" s="6">
        <v>0.11322795714058601</v>
      </c>
      <c r="D21" s="7">
        <v>4.49146017572256E-2</v>
      </c>
      <c r="F21" s="2" t="s">
        <v>29</v>
      </c>
      <c r="G21" s="9">
        <f t="array" ref="G21:T21">TRANSPOSE($H$2:$H$15/1000000)</f>
        <v>4.3479729000000003</v>
      </c>
      <c r="H21" s="9">
        <v>0.43442509999999995</v>
      </c>
      <c r="I21" s="9">
        <v>0.1075839</v>
      </c>
      <c r="J21" s="9">
        <v>3.6014699999999997E-2</v>
      </c>
      <c r="K21" s="9">
        <v>2.16118E-2</v>
      </c>
      <c r="L21" s="9">
        <v>1.5653899999999998E-2</v>
      </c>
      <c r="M21" s="9">
        <v>1.3413596000000001</v>
      </c>
      <c r="N21" s="9">
        <v>2.1762762000000002</v>
      </c>
      <c r="O21" s="9">
        <v>0.26451759999999996</v>
      </c>
      <c r="P21" s="9">
        <v>4.7588199999999997E-2</v>
      </c>
      <c r="Q21" s="9">
        <v>2.6758000000000001E-2</v>
      </c>
      <c r="R21" s="9">
        <v>9.0399300000000002E-2</v>
      </c>
      <c r="S21" s="9">
        <v>5.2699154999999998</v>
      </c>
      <c r="T21" s="9">
        <v>0.4552195</v>
      </c>
    </row>
    <row r="22" spans="1:21">
      <c r="A22" s="4" t="s">
        <v>33</v>
      </c>
      <c r="B22" s="5">
        <v>0.194254188802615</v>
      </c>
      <c r="C22" s="6">
        <v>0.191154919066825</v>
      </c>
      <c r="D22" s="7">
        <v>0.198074128036105</v>
      </c>
      <c r="F22" s="3" t="s">
        <v>30</v>
      </c>
      <c r="G22" s="10">
        <f t="array" ref="G22:T22">TRANSPOSE($M$2:$M$15/1000000)</f>
        <v>1.0254481</v>
      </c>
      <c r="H22" s="10">
        <v>0.17232520000000001</v>
      </c>
      <c r="I22" s="10">
        <v>0.11147810000000001</v>
      </c>
      <c r="J22" s="10">
        <v>3.7366900000000002E-2</v>
      </c>
      <c r="K22" s="10">
        <v>2.24864E-2</v>
      </c>
      <c r="L22" s="10">
        <v>1.6074600000000001E-2</v>
      </c>
      <c r="M22" s="10">
        <v>1.1329403999999998</v>
      </c>
      <c r="N22" s="10">
        <v>0.51550680000000004</v>
      </c>
      <c r="O22" s="10">
        <v>0.41664470000000003</v>
      </c>
      <c r="P22" s="10">
        <v>4.6025099999999999E-2</v>
      </c>
      <c r="Q22" s="10">
        <v>2.76099E-2</v>
      </c>
      <c r="R22" s="10">
        <v>9.41689E-2</v>
      </c>
      <c r="S22" s="10">
        <v>5.4157939000000006</v>
      </c>
      <c r="T22" s="10">
        <v>0.4692443</v>
      </c>
    </row>
    <row r="23" spans="1:21">
      <c r="A23" s="4" t="s">
        <v>34</v>
      </c>
      <c r="B23" s="5">
        <v>7.1025745811197402E-2</v>
      </c>
      <c r="C23" s="6">
        <v>6.3990867255379294E-2</v>
      </c>
      <c r="D23" s="7">
        <v>6.6393454274089006E-2</v>
      </c>
    </row>
    <row r="24" spans="1:21">
      <c r="A24" s="4" t="s">
        <v>35</v>
      </c>
      <c r="B24" s="5">
        <v>3.6176329489525802E-2</v>
      </c>
      <c r="C24" s="6">
        <v>3.8399815212949301E-2</v>
      </c>
      <c r="D24" s="7">
        <v>3.9953803237327001E-2</v>
      </c>
      <c r="F24" s="4" t="s">
        <v>45</v>
      </c>
      <c r="G24" s="4" t="s">
        <v>46</v>
      </c>
      <c r="O24" s="4" t="s">
        <v>28</v>
      </c>
      <c r="P24" s="4" t="s">
        <v>29</v>
      </c>
      <c r="Q24" s="4" t="s">
        <v>30</v>
      </c>
      <c r="R24" s="4" t="s">
        <v>47</v>
      </c>
      <c r="S24" s="4" t="s">
        <v>28</v>
      </c>
      <c r="T24" s="4" t="s">
        <v>29</v>
      </c>
      <c r="U24" s="4" t="s">
        <v>30</v>
      </c>
    </row>
    <row r="25" spans="1:21">
      <c r="A25" s="4" t="s">
        <v>36</v>
      </c>
      <c r="B25" s="5">
        <v>2.9279152822444501E-2</v>
      </c>
      <c r="C25" s="6">
        <v>2.7813827046427701E-2</v>
      </c>
      <c r="D25" s="7">
        <v>2.85613262024484E-2</v>
      </c>
      <c r="F25" s="4" t="s">
        <v>31</v>
      </c>
      <c r="G25" s="4">
        <f>$D$2</f>
        <v>4332776</v>
      </c>
      <c r="O25" s="4">
        <f>SUM($C$4:$C$7,$C$10:$C$13)</f>
        <v>460632.60000000003</v>
      </c>
      <c r="P25" s="4">
        <f>SUM($H$4:$H$7,$H$10:$H$13)</f>
        <v>610127.39999999991</v>
      </c>
      <c r="Q25" s="4">
        <f>SUM($M$4:$M$7,$M$10:$M$13)</f>
        <v>771854.6</v>
      </c>
      <c r="R25" s="4" t="s">
        <v>48</v>
      </c>
      <c r="S25" s="11">
        <f t="array" ref="S25:S29">$O$25:$O$29/$P$25:$P$29</f>
        <v>0.75497773088046871</v>
      </c>
      <c r="T25" s="11">
        <v>1</v>
      </c>
      <c r="U25" s="11">
        <f t="array" ref="U25:U29">$Q$25:$Q$29/$P$25:$P$29</f>
        <v>1.2650711966058239</v>
      </c>
    </row>
    <row r="26" spans="1:21">
      <c r="A26" s="4" t="s">
        <v>37</v>
      </c>
      <c r="B26" s="5">
        <v>1.7629313919132901</v>
      </c>
      <c r="C26" s="6">
        <v>0.72986054205231199</v>
      </c>
      <c r="D26" s="7">
        <v>0.61645549370725305</v>
      </c>
      <c r="F26" s="4" t="s">
        <v>32</v>
      </c>
      <c r="G26" s="4">
        <f>$D$3</f>
        <v>3836730</v>
      </c>
      <c r="O26" s="4">
        <f>SUM($C$2,$C$3,$C$8,$C$9)</f>
        <v>4271480.3000000007</v>
      </c>
      <c r="P26" s="4">
        <f>SUM($H$2,$H$3,$H$8,$H$9)</f>
        <v>8300033.7999999998</v>
      </c>
      <c r="Q26" s="4">
        <f>SUM($M$2,$M$3,$M$8,$M$9)</f>
        <v>2846220.5</v>
      </c>
      <c r="R26" s="4" t="s">
        <v>49</v>
      </c>
      <c r="S26" s="11">
        <v>0.5146340849840878</v>
      </c>
      <c r="T26" s="11">
        <v>1</v>
      </c>
      <c r="U26" s="11">
        <v>0.34291673607401457</v>
      </c>
    </row>
    <row r="27" spans="1:21">
      <c r="A27" s="4" t="s">
        <v>38</v>
      </c>
      <c r="B27" s="5">
        <v>0.131699545913467</v>
      </c>
      <c r="C27" s="6">
        <v>1.0697312346454599</v>
      </c>
      <c r="D27" s="7">
        <v>0.25339326213838498</v>
      </c>
      <c r="F27" s="4" t="s">
        <v>37</v>
      </c>
      <c r="G27" s="4">
        <f>$D$8</f>
        <v>1837830</v>
      </c>
      <c r="O27" s="4">
        <f>SUM($C$14,$C$15)</f>
        <v>5827156.3999999994</v>
      </c>
      <c r="P27" s="4">
        <f>SUM($H$14,$H$15)</f>
        <v>5725135</v>
      </c>
      <c r="Q27" s="4">
        <f>SUM($M$14,$M$15)</f>
        <v>5885038.2000000002</v>
      </c>
      <c r="R27" s="4" t="s">
        <v>50</v>
      </c>
      <c r="S27" s="11">
        <v>1.0178199116702051</v>
      </c>
      <c r="T27" s="11">
        <v>1</v>
      </c>
      <c r="U27" s="11">
        <v>1.027930031344239</v>
      </c>
    </row>
    <row r="28" spans="1:21">
      <c r="A28" s="4" t="s">
        <v>39</v>
      </c>
      <c r="B28" s="5">
        <v>0.20127496873324999</v>
      </c>
      <c r="C28" s="6">
        <v>0.47260603894943698</v>
      </c>
      <c r="D28" s="7">
        <v>0.74440718241915305</v>
      </c>
      <c r="F28" s="4" t="s">
        <v>38</v>
      </c>
      <c r="G28" s="4">
        <f>$D$9</f>
        <v>2034414</v>
      </c>
      <c r="O28" s="4">
        <f>$C$16</f>
        <v>10559269.300000001</v>
      </c>
      <c r="P28" s="4">
        <f>$H$16</f>
        <v>14635296.199999999</v>
      </c>
      <c r="Q28" s="4">
        <f>$M$16</f>
        <v>9503113.3000000007</v>
      </c>
      <c r="R28" s="4" t="s">
        <v>51</v>
      </c>
      <c r="S28" s="11">
        <v>0.72149337845311268</v>
      </c>
      <c r="T28" s="11">
        <v>1</v>
      </c>
      <c r="U28" s="11">
        <v>0.64932838872096088</v>
      </c>
    </row>
    <row r="29" spans="1:21">
      <c r="A29" s="4" t="s">
        <v>40</v>
      </c>
      <c r="B29" s="5">
        <v>8.1140432374486302E-2</v>
      </c>
      <c r="C29" s="6">
        <v>8.5024477398606399E-2</v>
      </c>
      <c r="D29" s="7">
        <v>8.2231731284616805E-2</v>
      </c>
      <c r="F29" s="4" t="s">
        <v>25</v>
      </c>
      <c r="G29" s="4">
        <f>SUM($G$25:$G$28)</f>
        <v>12041750</v>
      </c>
      <c r="O29" s="4">
        <f>$C$17</f>
        <v>182740582.40000001</v>
      </c>
      <c r="P29" s="4">
        <f>$H$17</f>
        <v>182509568</v>
      </c>
      <c r="Q29" s="4">
        <f>$M$17</f>
        <v>182620979.19999999</v>
      </c>
      <c r="R29" s="4" t="s">
        <v>52</v>
      </c>
      <c r="S29" s="11">
        <v>1.001265765967952</v>
      </c>
      <c r="T29" s="11">
        <v>1</v>
      </c>
      <c r="U29" s="11">
        <v>1.0006104403249696</v>
      </c>
    </row>
    <row r="30" spans="1:21">
      <c r="A30" s="4" t="s">
        <v>41</v>
      </c>
      <c r="B30" s="5">
        <v>4.08206181883152E-2</v>
      </c>
      <c r="C30" s="6">
        <v>4.7807754154011103E-2</v>
      </c>
      <c r="D30" s="7">
        <v>4.9329819546185497E-2</v>
      </c>
    </row>
    <row r="31" spans="1:21">
      <c r="A31" s="4" t="s">
        <v>42</v>
      </c>
      <c r="B31" s="5">
        <v>0.167189923173128</v>
      </c>
      <c r="C31" s="6">
        <v>0.16151384670359101</v>
      </c>
      <c r="D31" s="7">
        <v>0.16824888333035601</v>
      </c>
    </row>
    <row r="32" spans="1:21">
      <c r="A32" s="4" t="s">
        <v>43</v>
      </c>
      <c r="B32" s="5">
        <v>5.6121003609853698E-2</v>
      </c>
      <c r="C32" s="6">
        <v>5.5145734095144998E-2</v>
      </c>
      <c r="D32" s="7">
        <v>5.6672242718788998E-2</v>
      </c>
    </row>
    <row r="33" spans="1:4">
      <c r="A33" s="4" t="s">
        <v>44</v>
      </c>
      <c r="B33" s="5">
        <v>5.4333640104067903E-2</v>
      </c>
      <c r="C33" s="6">
        <v>5.3300771142006799E-2</v>
      </c>
      <c r="D33" s="7">
        <v>5.4942907858716902E-2</v>
      </c>
    </row>
    <row r="34" spans="1:4">
      <c r="A34" s="4" t="s">
        <v>25</v>
      </c>
      <c r="B34" s="5">
        <v>8.7530146938139403E-2</v>
      </c>
      <c r="C34" s="6">
        <v>0.121318018366024</v>
      </c>
      <c r="D34" s="7">
        <v>7.8775233388430302E-2</v>
      </c>
    </row>
    <row r="35" spans="1:4">
      <c r="A35" s="4" t="s">
        <v>53</v>
      </c>
      <c r="B35" s="12"/>
      <c r="C35" s="13"/>
      <c r="D35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5"/>
  <sheetViews>
    <sheetView topLeftCell="A29" workbookViewId="0"/>
  </sheetViews>
  <sheetFormatPr defaultColWidth="12.5703125" defaultRowHeight="15.75" customHeight="1"/>
  <cols>
    <col min="1" max="1" width="23" customWidth="1"/>
    <col min="2" max="2" width="14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>
      <c r="A2" s="1" t="s">
        <v>5</v>
      </c>
      <c r="B2" s="1" t="s">
        <v>6</v>
      </c>
      <c r="C2" s="1">
        <v>9231241.5999999996</v>
      </c>
      <c r="D2" s="1">
        <v>78233950</v>
      </c>
      <c r="E2" s="1">
        <v>0.11799534089739799</v>
      </c>
      <c r="F2" s="2" t="s">
        <v>7</v>
      </c>
      <c r="G2" s="2" t="s">
        <v>8</v>
      </c>
      <c r="H2" s="2">
        <v>75755254.599999994</v>
      </c>
      <c r="I2" s="2">
        <v>78233950</v>
      </c>
      <c r="J2" s="2">
        <v>0.96831688288780005</v>
      </c>
      <c r="K2" s="3" t="s">
        <v>9</v>
      </c>
      <c r="L2" s="3" t="s">
        <v>10</v>
      </c>
      <c r="M2" s="3">
        <v>16391701.199999999</v>
      </c>
      <c r="N2" s="3">
        <v>78233950</v>
      </c>
      <c r="O2" s="3">
        <v>0.209521584938508</v>
      </c>
    </row>
    <row r="3" spans="1:15">
      <c r="A3" s="1" t="s">
        <v>5</v>
      </c>
      <c r="B3" s="1" t="s">
        <v>11</v>
      </c>
      <c r="C3" s="1">
        <v>3807628.1</v>
      </c>
      <c r="D3" s="1">
        <v>84091350</v>
      </c>
      <c r="E3" s="1">
        <v>4.52796643174357E-2</v>
      </c>
      <c r="F3" s="2" t="s">
        <v>7</v>
      </c>
      <c r="G3" s="2" t="s">
        <v>12</v>
      </c>
      <c r="H3" s="2">
        <v>8783811.1999999993</v>
      </c>
      <c r="I3" s="2">
        <v>84091350</v>
      </c>
      <c r="J3" s="2">
        <v>0.104455585503146</v>
      </c>
      <c r="K3" s="3" t="s">
        <v>9</v>
      </c>
      <c r="L3" s="3" t="s">
        <v>13</v>
      </c>
      <c r="M3" s="3">
        <v>3432520.7</v>
      </c>
      <c r="N3" s="3">
        <v>84091350</v>
      </c>
      <c r="O3" s="3">
        <v>4.0818951057391799E-2</v>
      </c>
    </row>
    <row r="4" spans="1:15">
      <c r="A4" s="1" t="s">
        <v>5</v>
      </c>
      <c r="B4" s="1" t="s">
        <v>14</v>
      </c>
      <c r="C4" s="1">
        <v>1018309.6</v>
      </c>
      <c r="D4" s="1">
        <v>5814230</v>
      </c>
      <c r="E4" s="1">
        <v>0.17514092149777399</v>
      </c>
      <c r="F4" s="2" t="s">
        <v>7</v>
      </c>
      <c r="G4" s="2" t="s">
        <v>14</v>
      </c>
      <c r="H4" s="2">
        <v>966183.3</v>
      </c>
      <c r="I4" s="2">
        <v>5814230</v>
      </c>
      <c r="J4" s="2">
        <v>0.166175624287309</v>
      </c>
      <c r="K4" s="3" t="s">
        <v>9</v>
      </c>
      <c r="L4" s="3" t="s">
        <v>14</v>
      </c>
      <c r="M4" s="3">
        <v>1008949.6</v>
      </c>
      <c r="N4" s="3">
        <v>5814230</v>
      </c>
      <c r="O4" s="3">
        <v>0.173531078061927</v>
      </c>
    </row>
    <row r="5" spans="1:15">
      <c r="A5" s="1" t="s">
        <v>5</v>
      </c>
      <c r="B5" s="1" t="s">
        <v>15</v>
      </c>
      <c r="C5" s="1">
        <v>324798</v>
      </c>
      <c r="D5" s="1">
        <v>5814230</v>
      </c>
      <c r="E5" s="1">
        <v>5.5862599174783201E-2</v>
      </c>
      <c r="F5" s="2" t="s">
        <v>7</v>
      </c>
      <c r="G5" s="2" t="s">
        <v>15</v>
      </c>
      <c r="H5" s="2">
        <v>301415.09999999998</v>
      </c>
      <c r="I5" s="2">
        <v>5814230</v>
      </c>
      <c r="J5" s="2">
        <v>5.1840931645291001E-2</v>
      </c>
      <c r="K5" s="3" t="s">
        <v>9</v>
      </c>
      <c r="L5" s="3" t="s">
        <v>15</v>
      </c>
      <c r="M5" s="3">
        <v>295084.7</v>
      </c>
      <c r="N5" s="3">
        <v>5814230</v>
      </c>
      <c r="O5" s="3">
        <v>5.07521546275259E-2</v>
      </c>
    </row>
    <row r="6" spans="1:15">
      <c r="A6" s="1" t="s">
        <v>5</v>
      </c>
      <c r="B6" s="1" t="s">
        <v>16</v>
      </c>
      <c r="C6" s="1">
        <v>189204.5</v>
      </c>
      <c r="D6" s="1">
        <v>5814230</v>
      </c>
      <c r="E6" s="1">
        <v>3.2541626320252197E-2</v>
      </c>
      <c r="F6" s="2" t="s">
        <v>7</v>
      </c>
      <c r="G6" s="2" t="s">
        <v>16</v>
      </c>
      <c r="H6" s="2">
        <v>191482.6</v>
      </c>
      <c r="I6" s="2">
        <v>5814230</v>
      </c>
      <c r="J6" s="2">
        <v>3.2933440885551502E-2</v>
      </c>
      <c r="K6" s="3" t="s">
        <v>9</v>
      </c>
      <c r="L6" s="3" t="s">
        <v>16</v>
      </c>
      <c r="M6" s="3">
        <v>191587.3</v>
      </c>
      <c r="N6" s="3">
        <v>5814230</v>
      </c>
      <c r="O6" s="3">
        <v>3.2951448429112698E-2</v>
      </c>
    </row>
    <row r="7" spans="1:15">
      <c r="A7" s="1" t="s">
        <v>5</v>
      </c>
      <c r="B7" s="1" t="s">
        <v>17</v>
      </c>
      <c r="C7" s="1">
        <v>146008.1</v>
      </c>
      <c r="D7" s="1">
        <v>5814230</v>
      </c>
      <c r="E7" s="1">
        <v>2.5112198863821999E-2</v>
      </c>
      <c r="F7" s="2" t="s">
        <v>7</v>
      </c>
      <c r="G7" s="2" t="s">
        <v>17</v>
      </c>
      <c r="H7" s="2">
        <v>141976.20000000001</v>
      </c>
      <c r="I7" s="2">
        <v>5814230</v>
      </c>
      <c r="J7" s="2">
        <v>2.4418745044485698E-2</v>
      </c>
      <c r="K7" s="3" t="s">
        <v>9</v>
      </c>
      <c r="L7" s="3" t="s">
        <v>17</v>
      </c>
      <c r="M7" s="3">
        <v>141335.20000000001</v>
      </c>
      <c r="N7" s="3">
        <v>5814230</v>
      </c>
      <c r="O7" s="3">
        <v>2.43084982878214E-2</v>
      </c>
    </row>
    <row r="8" spans="1:15">
      <c r="A8" s="1" t="s">
        <v>18</v>
      </c>
      <c r="B8" s="1" t="s">
        <v>6</v>
      </c>
      <c r="C8" s="1">
        <v>89113732.799999997</v>
      </c>
      <c r="D8" s="1">
        <v>54315320</v>
      </c>
      <c r="E8" s="1">
        <v>1.6406739903217</v>
      </c>
      <c r="F8" s="2" t="s">
        <v>19</v>
      </c>
      <c r="G8" s="2" t="s">
        <v>8</v>
      </c>
      <c r="H8" s="2">
        <v>36246220.299999997</v>
      </c>
      <c r="I8" s="2">
        <v>54315320</v>
      </c>
      <c r="J8" s="2">
        <v>0.66732959135654502</v>
      </c>
      <c r="K8" s="3" t="s">
        <v>20</v>
      </c>
      <c r="L8" s="3" t="s">
        <v>10</v>
      </c>
      <c r="M8" s="3">
        <v>29365781.699999999</v>
      </c>
      <c r="N8" s="3">
        <v>54315320</v>
      </c>
      <c r="O8" s="3">
        <v>0.54065375477857802</v>
      </c>
    </row>
    <row r="9" spans="1:15">
      <c r="A9" s="1" t="s">
        <v>18</v>
      </c>
      <c r="B9" s="1" t="s">
        <v>11</v>
      </c>
      <c r="C9" s="1">
        <v>7182652.9000000004</v>
      </c>
      <c r="D9" s="1">
        <v>61132190</v>
      </c>
      <c r="E9" s="1">
        <v>0.117493793368109</v>
      </c>
      <c r="F9" s="2" t="s">
        <v>19</v>
      </c>
      <c r="G9" s="2" t="s">
        <v>12</v>
      </c>
      <c r="H9" s="2">
        <v>58071524.799999997</v>
      </c>
      <c r="I9" s="2">
        <v>61132190</v>
      </c>
      <c r="J9" s="2">
        <v>0.94993365688355003</v>
      </c>
      <c r="K9" s="3" t="s">
        <v>20</v>
      </c>
      <c r="L9" s="3" t="s">
        <v>13</v>
      </c>
      <c r="M9" s="3">
        <v>12710934.699999999</v>
      </c>
      <c r="N9" s="3">
        <v>61132190</v>
      </c>
      <c r="O9" s="3">
        <v>0.20792539413359801</v>
      </c>
    </row>
    <row r="10" spans="1:15">
      <c r="A10" s="1" t="s">
        <v>18</v>
      </c>
      <c r="B10" s="1" t="s">
        <v>14</v>
      </c>
      <c r="C10" s="1">
        <v>1156948.3999999999</v>
      </c>
      <c r="D10" s="1">
        <v>6624050</v>
      </c>
      <c r="E10" s="1">
        <v>0.17465876616269499</v>
      </c>
      <c r="F10" s="2" t="s">
        <v>19</v>
      </c>
      <c r="G10" s="2" t="s">
        <v>14</v>
      </c>
      <c r="H10" s="2">
        <v>2998324.3</v>
      </c>
      <c r="I10" s="2">
        <v>6624050</v>
      </c>
      <c r="J10" s="2">
        <v>0.45264216000785001</v>
      </c>
      <c r="K10" s="3" t="s">
        <v>20</v>
      </c>
      <c r="L10" s="3" t="s">
        <v>14</v>
      </c>
      <c r="M10" s="3">
        <v>4930522.7</v>
      </c>
      <c r="N10" s="3">
        <v>6624050</v>
      </c>
      <c r="O10" s="3">
        <v>0.74433657656569596</v>
      </c>
    </row>
    <row r="11" spans="1:15">
      <c r="A11" s="1" t="s">
        <v>18</v>
      </c>
      <c r="B11" s="1" t="s">
        <v>15</v>
      </c>
      <c r="C11" s="1">
        <v>373583.2</v>
      </c>
      <c r="D11" s="1">
        <v>6624050</v>
      </c>
      <c r="E11" s="1">
        <v>5.6398004242117702E-2</v>
      </c>
      <c r="F11" s="2" t="s">
        <v>19</v>
      </c>
      <c r="G11" s="2" t="s">
        <v>15</v>
      </c>
      <c r="H11" s="2">
        <v>352960.9</v>
      </c>
      <c r="I11" s="2">
        <v>6624050</v>
      </c>
      <c r="J11" s="2">
        <v>5.32847578143281E-2</v>
      </c>
      <c r="K11" s="3" t="s">
        <v>20</v>
      </c>
      <c r="L11" s="3" t="s">
        <v>15</v>
      </c>
      <c r="M11" s="3">
        <v>338892.6</v>
      </c>
      <c r="N11" s="3">
        <v>6624050</v>
      </c>
      <c r="O11" s="3">
        <v>5.1160936285203198E-2</v>
      </c>
    </row>
    <row r="12" spans="1:15">
      <c r="A12" s="1" t="s">
        <v>18</v>
      </c>
      <c r="B12" s="1" t="s">
        <v>16</v>
      </c>
      <c r="C12" s="1">
        <v>218467.3</v>
      </c>
      <c r="D12" s="1">
        <v>6624050</v>
      </c>
      <c r="E12" s="1">
        <v>3.2980925566684999E-2</v>
      </c>
      <c r="F12" s="2" t="s">
        <v>19</v>
      </c>
      <c r="G12" s="2" t="s">
        <v>16</v>
      </c>
      <c r="H12" s="2">
        <v>220749.8</v>
      </c>
      <c r="I12" s="2">
        <v>6624050</v>
      </c>
      <c r="J12" s="2">
        <v>3.3325503279715597E-2</v>
      </c>
      <c r="K12" s="3" t="s">
        <v>20</v>
      </c>
      <c r="L12" s="3" t="s">
        <v>16</v>
      </c>
      <c r="M12" s="3">
        <v>219682.1</v>
      </c>
      <c r="N12" s="3">
        <v>6624050</v>
      </c>
      <c r="O12" s="3">
        <v>3.3164317902189801E-2</v>
      </c>
    </row>
    <row r="13" spans="1:15">
      <c r="A13" s="1" t="s">
        <v>18</v>
      </c>
      <c r="B13" s="1" t="s">
        <v>17</v>
      </c>
      <c r="C13" s="1">
        <v>904030.6</v>
      </c>
      <c r="D13" s="1">
        <v>6624050</v>
      </c>
      <c r="E13" s="1">
        <v>0.13647701934616999</v>
      </c>
      <c r="F13" s="2" t="s">
        <v>19</v>
      </c>
      <c r="G13" s="2" t="s">
        <v>17</v>
      </c>
      <c r="H13" s="2">
        <v>880784.6</v>
      </c>
      <c r="I13" s="2">
        <v>6624050</v>
      </c>
      <c r="J13" s="2">
        <v>0.132967685932322</v>
      </c>
      <c r="K13" s="3" t="s">
        <v>20</v>
      </c>
      <c r="L13" s="3" t="s">
        <v>17</v>
      </c>
      <c r="M13" s="3">
        <v>869787.8</v>
      </c>
      <c r="N13" s="3">
        <v>6624050</v>
      </c>
      <c r="O13" s="3">
        <v>0.131307553535979</v>
      </c>
    </row>
    <row r="14" spans="1:15">
      <c r="A14" s="1" t="s">
        <v>21</v>
      </c>
      <c r="B14" s="1" t="s">
        <v>22</v>
      </c>
      <c r="C14" s="1">
        <v>288078876.5</v>
      </c>
      <c r="D14" s="1">
        <v>6418656014</v>
      </c>
      <c r="E14" s="1">
        <v>4.48814947976117E-2</v>
      </c>
      <c r="F14" s="2" t="s">
        <v>21</v>
      </c>
      <c r="G14" s="2" t="s">
        <v>22</v>
      </c>
      <c r="H14" s="2">
        <v>288053944.5</v>
      </c>
      <c r="I14" s="2">
        <v>6418656014</v>
      </c>
      <c r="J14" s="2">
        <v>4.4877610495361299E-2</v>
      </c>
      <c r="K14" s="3" t="s">
        <v>21</v>
      </c>
      <c r="L14" s="3" t="s">
        <v>22</v>
      </c>
      <c r="M14" s="3">
        <v>288706013.89999998</v>
      </c>
      <c r="N14" s="3">
        <v>6418656014</v>
      </c>
      <c r="O14" s="3">
        <v>4.49792002048858E-2</v>
      </c>
    </row>
    <row r="15" spans="1:15">
      <c r="A15" s="1" t="s">
        <v>23</v>
      </c>
      <c r="B15" s="1" t="s">
        <v>24</v>
      </c>
      <c r="C15" s="1">
        <v>6416201.5</v>
      </c>
      <c r="D15" s="1">
        <v>135038200</v>
      </c>
      <c r="E15" s="1">
        <v>4.7513973823703197E-2</v>
      </c>
      <c r="F15" s="2" t="s">
        <v>23</v>
      </c>
      <c r="G15" s="2" t="s">
        <v>24</v>
      </c>
      <c r="H15" s="2">
        <v>6400549.5</v>
      </c>
      <c r="I15" s="2">
        <v>135038200</v>
      </c>
      <c r="J15" s="2">
        <v>4.7398065880617499E-2</v>
      </c>
      <c r="K15" s="3" t="s">
        <v>23</v>
      </c>
      <c r="L15" s="3" t="s">
        <v>24</v>
      </c>
      <c r="M15" s="3">
        <v>6395631.2000000002</v>
      </c>
      <c r="N15" s="3">
        <v>135038200</v>
      </c>
      <c r="O15" s="3">
        <v>4.7361644334714202E-2</v>
      </c>
    </row>
    <row r="16" spans="1:15">
      <c r="A16" s="1" t="s">
        <v>25</v>
      </c>
      <c r="B16" s="1" t="s">
        <v>26</v>
      </c>
      <c r="C16" s="1">
        <v>408161683.10000002</v>
      </c>
      <c r="D16" s="1">
        <v>6881220144</v>
      </c>
      <c r="E16" s="1">
        <v>5.9315306669252797E-2</v>
      </c>
      <c r="F16" s="2" t="s">
        <v>25</v>
      </c>
      <c r="G16" s="2" t="s">
        <v>26</v>
      </c>
      <c r="H16" s="2">
        <v>479365181.69999999</v>
      </c>
      <c r="I16" s="2">
        <v>6881220144</v>
      </c>
      <c r="J16" s="2">
        <v>6.9662817301082397E-2</v>
      </c>
      <c r="K16" s="3" t="s">
        <v>25</v>
      </c>
      <c r="L16" s="3" t="s">
        <v>26</v>
      </c>
      <c r="M16" s="3">
        <v>364998425.39999998</v>
      </c>
      <c r="N16" s="3">
        <v>6881220144</v>
      </c>
      <c r="O16" s="3">
        <v>5.3042689779116602E-2</v>
      </c>
    </row>
    <row r="17" spans="1:21">
      <c r="A17" s="1" t="s">
        <v>27</v>
      </c>
      <c r="B17" s="1"/>
      <c r="C17" s="1">
        <v>2073524633.5999999</v>
      </c>
      <c r="D17" s="1"/>
      <c r="E17" s="1"/>
      <c r="F17" s="2" t="s">
        <v>27</v>
      </c>
      <c r="G17" s="2"/>
      <c r="H17" s="2">
        <v>2129605427.2</v>
      </c>
      <c r="I17" s="2"/>
      <c r="J17" s="2"/>
      <c r="K17" s="3" t="s">
        <v>27</v>
      </c>
      <c r="L17" s="3"/>
      <c r="M17" s="3">
        <v>2014691328</v>
      </c>
      <c r="N17" s="3"/>
      <c r="O17" s="3"/>
    </row>
    <row r="19" spans="1:21">
      <c r="A19" s="4" t="s">
        <v>0</v>
      </c>
      <c r="B19" s="1" t="s">
        <v>28</v>
      </c>
      <c r="C19" s="2" t="s">
        <v>29</v>
      </c>
      <c r="D19" s="3" t="s">
        <v>30</v>
      </c>
      <c r="F19" s="4" t="s">
        <v>1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4" t="s">
        <v>44</v>
      </c>
    </row>
    <row r="20" spans="1:21">
      <c r="A20" s="4" t="s">
        <v>31</v>
      </c>
      <c r="B20" s="5">
        <f t="array" ref="B20:B34">$E$2:$E$16</f>
        <v>0.11799534089739799</v>
      </c>
      <c r="C20" s="6">
        <f t="array" ref="C20:C34">$J$2:$J$16</f>
        <v>0.96831688288780005</v>
      </c>
      <c r="D20" s="7">
        <f t="array" ref="D20:D34">$O$2:$O$16</f>
        <v>0.209521584938508</v>
      </c>
      <c r="F20" s="1" t="s">
        <v>28</v>
      </c>
      <c r="G20" s="8">
        <f t="array" ref="G20:T20">TRANSPOSE($C$2:$C$15/1000000)</f>
        <v>9.2312415999999988</v>
      </c>
      <c r="H20" s="8">
        <v>3.8076281000000001</v>
      </c>
      <c r="I20" s="8">
        <v>1.0183096</v>
      </c>
      <c r="J20" s="8">
        <v>0.32479799999999998</v>
      </c>
      <c r="K20" s="8">
        <v>0.1892045</v>
      </c>
      <c r="L20" s="8">
        <v>0.1460081</v>
      </c>
      <c r="M20" s="8">
        <v>89.113732799999994</v>
      </c>
      <c r="N20" s="8">
        <v>7.1826529000000008</v>
      </c>
      <c r="O20" s="8">
        <v>1.1569483999999999</v>
      </c>
      <c r="P20" s="8">
        <v>0.3735832</v>
      </c>
      <c r="Q20" s="8">
        <v>0.21846729999999998</v>
      </c>
      <c r="R20" s="8">
        <v>0.90403060000000002</v>
      </c>
      <c r="S20" s="8">
        <v>288.07887649999998</v>
      </c>
      <c r="T20" s="8">
        <v>6.4162014999999997</v>
      </c>
    </row>
    <row r="21" spans="1:21">
      <c r="A21" s="4" t="s">
        <v>32</v>
      </c>
      <c r="B21" s="5">
        <v>4.52796643174357E-2</v>
      </c>
      <c r="C21" s="6">
        <v>0.104455585503146</v>
      </c>
      <c r="D21" s="7">
        <v>4.0818951057391799E-2</v>
      </c>
      <c r="F21" s="2" t="s">
        <v>29</v>
      </c>
      <c r="G21" s="9">
        <f t="array" ref="G21:T21">TRANSPOSE($H$2:$H$15/1000000)</f>
        <v>75.755254600000001</v>
      </c>
      <c r="H21" s="9">
        <v>8.7838111999999988</v>
      </c>
      <c r="I21" s="9">
        <v>0.96618330000000008</v>
      </c>
      <c r="J21" s="9">
        <v>0.30141509999999999</v>
      </c>
      <c r="K21" s="9">
        <v>0.1914826</v>
      </c>
      <c r="L21" s="9">
        <v>0.14197620000000002</v>
      </c>
      <c r="M21" s="9">
        <v>36.246220299999997</v>
      </c>
      <c r="N21" s="9">
        <v>58.071524799999999</v>
      </c>
      <c r="O21" s="9">
        <v>2.9983242999999997</v>
      </c>
      <c r="P21" s="9">
        <v>0.35296090000000002</v>
      </c>
      <c r="Q21" s="9">
        <v>0.2207498</v>
      </c>
      <c r="R21" s="9">
        <v>0.88078460000000003</v>
      </c>
      <c r="S21" s="9">
        <v>288.0539445</v>
      </c>
      <c r="T21" s="9">
        <v>6.4005495000000003</v>
      </c>
    </row>
    <row r="22" spans="1:21">
      <c r="A22" s="4" t="s">
        <v>33</v>
      </c>
      <c r="B22" s="5">
        <v>0.17514092149777399</v>
      </c>
      <c r="C22" s="6">
        <v>0.166175624287309</v>
      </c>
      <c r="D22" s="7">
        <v>0.173531078061927</v>
      </c>
      <c r="F22" s="3" t="s">
        <v>30</v>
      </c>
      <c r="G22" s="10">
        <f t="array" ref="G22:T22">TRANSPOSE($M$2:$M$15/1000000)</f>
        <v>16.3917012</v>
      </c>
      <c r="H22" s="10">
        <v>3.4325207</v>
      </c>
      <c r="I22" s="10">
        <v>1.0089496</v>
      </c>
      <c r="J22" s="10">
        <v>0.29508470000000003</v>
      </c>
      <c r="K22" s="10">
        <v>0.19158729999999999</v>
      </c>
      <c r="L22" s="10">
        <v>0.14133520000000002</v>
      </c>
      <c r="M22" s="10">
        <v>29.365781699999999</v>
      </c>
      <c r="N22" s="10">
        <v>12.710934699999999</v>
      </c>
      <c r="O22" s="10">
        <v>4.9305227</v>
      </c>
      <c r="P22" s="10">
        <v>0.33889259999999999</v>
      </c>
      <c r="Q22" s="10">
        <v>0.21968210000000002</v>
      </c>
      <c r="R22" s="10">
        <v>0.8697878</v>
      </c>
      <c r="S22" s="10">
        <v>288.70601389999996</v>
      </c>
      <c r="T22" s="10">
        <v>6.3956312000000004</v>
      </c>
    </row>
    <row r="23" spans="1:21">
      <c r="A23" s="4" t="s">
        <v>34</v>
      </c>
      <c r="B23" s="5">
        <v>5.5862599174783201E-2</v>
      </c>
      <c r="C23" s="6">
        <v>5.1840931645291001E-2</v>
      </c>
      <c r="D23" s="7">
        <v>5.07521546275259E-2</v>
      </c>
    </row>
    <row r="24" spans="1:21">
      <c r="A24" s="4" t="s">
        <v>35</v>
      </c>
      <c r="B24" s="5">
        <v>3.2541626320252197E-2</v>
      </c>
      <c r="C24" s="6">
        <v>3.2933440885551502E-2</v>
      </c>
      <c r="D24" s="7">
        <v>3.2951448429112698E-2</v>
      </c>
      <c r="F24" s="4" t="s">
        <v>45</v>
      </c>
      <c r="G24" s="4" t="s">
        <v>54</v>
      </c>
      <c r="O24" s="4" t="s">
        <v>28</v>
      </c>
      <c r="P24" s="4" t="s">
        <v>29</v>
      </c>
      <c r="Q24" s="4" t="s">
        <v>30</v>
      </c>
      <c r="R24" s="4" t="s">
        <v>47</v>
      </c>
      <c r="S24" s="4" t="s">
        <v>28</v>
      </c>
      <c r="T24" s="4" t="s">
        <v>29</v>
      </c>
      <c r="U24" s="4" t="s">
        <v>30</v>
      </c>
    </row>
    <row r="25" spans="1:21">
      <c r="A25" s="4" t="s">
        <v>36</v>
      </c>
      <c r="B25" s="5">
        <v>2.5112198863821999E-2</v>
      </c>
      <c r="C25" s="6">
        <v>2.4418745044485698E-2</v>
      </c>
      <c r="D25" s="7">
        <v>2.43084982878214E-2</v>
      </c>
      <c r="F25" s="4" t="s">
        <v>31</v>
      </c>
      <c r="G25" s="4">
        <f>$D$2</f>
        <v>78233950</v>
      </c>
      <c r="O25" s="4">
        <f>SUM($C$4:$C$7,$C$10:$C$13)</f>
        <v>4331349.7</v>
      </c>
      <c r="P25" s="4">
        <f>SUM($H$4:$H$7,$H$10:$H$13)</f>
        <v>6053876.7999999998</v>
      </c>
      <c r="Q25" s="4">
        <f>SUM($M$4:$M$7,$M$10:$M$13)</f>
        <v>7995841.9999999991</v>
      </c>
      <c r="R25" s="4" t="s">
        <v>48</v>
      </c>
      <c r="S25" s="11">
        <f t="array" ref="S25:S29">$O$25:$O$29/$P$25:$P$29</f>
        <v>0.71546710365827071</v>
      </c>
      <c r="T25" s="11">
        <v>1</v>
      </c>
      <c r="U25" s="11">
        <f t="array" ref="U25:U29">$Q$25:$Q$29/$P$25:$P$29</f>
        <v>1.3207804294927177</v>
      </c>
    </row>
    <row r="26" spans="1:21">
      <c r="A26" s="4" t="s">
        <v>37</v>
      </c>
      <c r="B26" s="5">
        <v>1.6406739903217</v>
      </c>
      <c r="C26" s="6">
        <v>0.66732959135654502</v>
      </c>
      <c r="D26" s="7">
        <v>0.54065375477857802</v>
      </c>
      <c r="F26" s="4" t="s">
        <v>32</v>
      </c>
      <c r="G26" s="4">
        <f>$D$3</f>
        <v>84091350</v>
      </c>
      <c r="O26" s="4">
        <f>SUM($C$2,$C$3,$C$8,$C$9)</f>
        <v>109335255.40000001</v>
      </c>
      <c r="P26" s="4">
        <f>SUM($H$2,$H$3,$H$8,$H$9)</f>
        <v>178856810.89999998</v>
      </c>
      <c r="Q26" s="4">
        <f>SUM($M$2,$M$3,$M$8,$M$9)</f>
        <v>61900938.299999997</v>
      </c>
      <c r="R26" s="4" t="s">
        <v>49</v>
      </c>
      <c r="S26" s="11">
        <v>0.61130048584579799</v>
      </c>
      <c r="T26" s="11">
        <v>1</v>
      </c>
      <c r="U26" s="11">
        <v>0.34609215041080665</v>
      </c>
    </row>
    <row r="27" spans="1:21">
      <c r="A27" s="4" t="s">
        <v>38</v>
      </c>
      <c r="B27" s="5">
        <v>0.117493793368109</v>
      </c>
      <c r="C27" s="6">
        <v>0.94993365688355003</v>
      </c>
      <c r="D27" s="7">
        <v>0.20792539413359801</v>
      </c>
      <c r="F27" s="4" t="s">
        <v>37</v>
      </c>
      <c r="G27" s="4">
        <f>$D$8</f>
        <v>54315320</v>
      </c>
      <c r="O27" s="4">
        <f>SUM($C$14,$C$15)</f>
        <v>294495078</v>
      </c>
      <c r="P27" s="4">
        <f>SUM($H$14,$H$15)</f>
        <v>294454494</v>
      </c>
      <c r="Q27" s="4">
        <f>SUM($M$14,$M$15)</f>
        <v>295101645.09999996</v>
      </c>
      <c r="R27" s="4" t="s">
        <v>50</v>
      </c>
      <c r="S27" s="11">
        <v>1.0001378277486912</v>
      </c>
      <c r="T27" s="11">
        <v>1</v>
      </c>
      <c r="U27" s="11">
        <v>1.0021977966483335</v>
      </c>
    </row>
    <row r="28" spans="1:21">
      <c r="A28" s="4" t="s">
        <v>39</v>
      </c>
      <c r="B28" s="5">
        <v>0.17465876616269499</v>
      </c>
      <c r="C28" s="6">
        <v>0.45264216000785001</v>
      </c>
      <c r="D28" s="7">
        <v>0.74433657656569596</v>
      </c>
      <c r="F28" s="4" t="s">
        <v>38</v>
      </c>
      <c r="G28" s="4">
        <f>$D$9</f>
        <v>61132190</v>
      </c>
      <c r="O28" s="4">
        <f>$C$16</f>
        <v>408161683.10000002</v>
      </c>
      <c r="P28" s="4">
        <f>$H$16</f>
        <v>479365181.69999999</v>
      </c>
      <c r="Q28" s="4">
        <f>$M$16</f>
        <v>364998425.39999998</v>
      </c>
      <c r="R28" s="4" t="s">
        <v>51</v>
      </c>
      <c r="S28" s="11">
        <v>0.85146293198123624</v>
      </c>
      <c r="T28" s="11">
        <v>1</v>
      </c>
      <c r="U28" s="11">
        <v>0.76142039374988668</v>
      </c>
    </row>
    <row r="29" spans="1:21">
      <c r="A29" s="4" t="s">
        <v>40</v>
      </c>
      <c r="B29" s="5">
        <v>5.6398004242117702E-2</v>
      </c>
      <c r="C29" s="6">
        <v>5.32847578143281E-2</v>
      </c>
      <c r="D29" s="7">
        <v>5.1160936285203198E-2</v>
      </c>
      <c r="F29" s="4" t="s">
        <v>25</v>
      </c>
      <c r="G29" s="4">
        <f>SUM($G$25:$G$28)</f>
        <v>277772810</v>
      </c>
      <c r="O29" s="4">
        <f>$C$17</f>
        <v>2073524633.5999999</v>
      </c>
      <c r="P29" s="4">
        <f>$H$17</f>
        <v>2129605427.2</v>
      </c>
      <c r="Q29" s="4">
        <f>$M$17</f>
        <v>2014691328</v>
      </c>
      <c r="R29" s="4" t="s">
        <v>52</v>
      </c>
      <c r="S29" s="11">
        <v>0.97366611068711684</v>
      </c>
      <c r="T29" s="11">
        <v>1</v>
      </c>
      <c r="U29" s="11">
        <v>0.9460397227898274</v>
      </c>
    </row>
    <row r="30" spans="1:21">
      <c r="A30" s="4" t="s">
        <v>41</v>
      </c>
      <c r="B30" s="5">
        <v>3.2980925566684999E-2</v>
      </c>
      <c r="C30" s="6">
        <v>3.3325503279715597E-2</v>
      </c>
      <c r="D30" s="7">
        <v>3.3164317902189801E-2</v>
      </c>
    </row>
    <row r="31" spans="1:21">
      <c r="A31" s="4" t="s">
        <v>42</v>
      </c>
      <c r="B31" s="5">
        <v>0.13647701934616999</v>
      </c>
      <c r="C31" s="6">
        <v>0.132967685932322</v>
      </c>
      <c r="D31" s="7">
        <v>0.131307553535979</v>
      </c>
    </row>
    <row r="32" spans="1:21">
      <c r="A32" s="4" t="s">
        <v>43</v>
      </c>
      <c r="B32" s="5">
        <v>4.48814947976117E-2</v>
      </c>
      <c r="C32" s="6">
        <v>4.4877610495361299E-2</v>
      </c>
      <c r="D32" s="7">
        <v>4.49792002048858E-2</v>
      </c>
    </row>
    <row r="33" spans="1:4">
      <c r="A33" s="4" t="s">
        <v>44</v>
      </c>
      <c r="B33" s="5">
        <v>4.7513973823703197E-2</v>
      </c>
      <c r="C33" s="6">
        <v>4.7398065880617499E-2</v>
      </c>
      <c r="D33" s="7">
        <v>4.7361644334714202E-2</v>
      </c>
    </row>
    <row r="34" spans="1:4">
      <c r="A34" s="4" t="s">
        <v>25</v>
      </c>
      <c r="B34" s="5">
        <v>5.9315306669252797E-2</v>
      </c>
      <c r="C34" s="6">
        <v>6.9662817301082397E-2</v>
      </c>
      <c r="D34" s="7">
        <v>5.3042689779116602E-2</v>
      </c>
    </row>
    <row r="35" spans="1:4">
      <c r="A35" s="4" t="s">
        <v>53</v>
      </c>
      <c r="B35" s="12"/>
      <c r="C35" s="13"/>
      <c r="D35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41"/>
  <sheetViews>
    <sheetView topLeftCell="A23" workbookViewId="0">
      <selection activeCell="T43" sqref="T43"/>
    </sheetView>
  </sheetViews>
  <sheetFormatPr defaultColWidth="12.5703125" defaultRowHeight="15.75" customHeight="1"/>
  <cols>
    <col min="1" max="1" width="23" customWidth="1"/>
    <col min="2" max="2" width="14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>
      <c r="A2" s="1" t="s">
        <v>5</v>
      </c>
      <c r="B2" s="1" t="s">
        <v>6</v>
      </c>
      <c r="C2" s="1">
        <v>10229298.1</v>
      </c>
      <c r="D2" s="1">
        <v>86413296</v>
      </c>
      <c r="E2" s="1">
        <v>0.118376437116807</v>
      </c>
      <c r="F2" s="2" t="s">
        <v>7</v>
      </c>
      <c r="G2" s="2" t="s">
        <v>8</v>
      </c>
      <c r="H2" s="2">
        <v>84130522.5</v>
      </c>
      <c r="I2" s="2">
        <v>86413296</v>
      </c>
      <c r="J2" s="2">
        <v>0.97358307568779701</v>
      </c>
      <c r="K2" s="3" t="s">
        <v>9</v>
      </c>
      <c r="L2" s="3" t="s">
        <v>10</v>
      </c>
      <c r="M2" s="3">
        <v>18310669.300000001</v>
      </c>
      <c r="N2" s="3">
        <v>86413296</v>
      </c>
      <c r="O2" s="3">
        <v>0.21189643431723701</v>
      </c>
    </row>
    <row r="3" spans="1:15">
      <c r="A3" s="1" t="s">
        <v>5</v>
      </c>
      <c r="B3" s="1" t="s">
        <v>11</v>
      </c>
      <c r="C3" s="1">
        <v>4948657.7</v>
      </c>
      <c r="D3" s="1">
        <v>109741450</v>
      </c>
      <c r="E3" s="1">
        <v>4.5093788172108198E-2</v>
      </c>
      <c r="F3" s="2" t="s">
        <v>7</v>
      </c>
      <c r="G3" s="2" t="s">
        <v>12</v>
      </c>
      <c r="H3" s="2">
        <v>11404761.699999999</v>
      </c>
      <c r="I3" s="2">
        <v>109741450</v>
      </c>
      <c r="J3" s="2">
        <v>0.103923920268959</v>
      </c>
      <c r="K3" s="3" t="s">
        <v>9</v>
      </c>
      <c r="L3" s="3" t="s">
        <v>13</v>
      </c>
      <c r="M3" s="3">
        <v>4485137.7</v>
      </c>
      <c r="N3" s="3">
        <v>109741450</v>
      </c>
      <c r="O3" s="3">
        <v>4.0870042267529702E-2</v>
      </c>
    </row>
    <row r="4" spans="1:15">
      <c r="A4" s="1" t="s">
        <v>5</v>
      </c>
      <c r="B4" s="1" t="s">
        <v>14</v>
      </c>
      <c r="C4" s="1">
        <v>2127695.5</v>
      </c>
      <c r="D4" s="1">
        <v>12222800</v>
      </c>
      <c r="E4" s="1">
        <v>0.17407594822790201</v>
      </c>
      <c r="F4" s="2" t="s">
        <v>7</v>
      </c>
      <c r="G4" s="2" t="s">
        <v>14</v>
      </c>
      <c r="H4" s="2">
        <v>2005748</v>
      </c>
      <c r="I4" s="2">
        <v>12222800</v>
      </c>
      <c r="J4" s="2">
        <v>0.16409889714304399</v>
      </c>
      <c r="K4" s="3" t="s">
        <v>9</v>
      </c>
      <c r="L4" s="3" t="s">
        <v>14</v>
      </c>
      <c r="M4" s="3">
        <v>2116858.2000000002</v>
      </c>
      <c r="N4" s="3">
        <v>12222800</v>
      </c>
      <c r="O4" s="3">
        <v>0.17318930196027099</v>
      </c>
    </row>
    <row r="5" spans="1:15">
      <c r="A5" s="1" t="s">
        <v>5</v>
      </c>
      <c r="B5" s="1" t="s">
        <v>15</v>
      </c>
      <c r="C5" s="1">
        <v>662802.6</v>
      </c>
      <c r="D5" s="1">
        <v>12222800</v>
      </c>
      <c r="E5" s="1">
        <v>5.4226740190463703E-2</v>
      </c>
      <c r="F5" s="2" t="s">
        <v>7</v>
      </c>
      <c r="G5" s="2" t="s">
        <v>15</v>
      </c>
      <c r="H5" s="2">
        <v>616737.19999999995</v>
      </c>
      <c r="I5" s="2">
        <v>12222800</v>
      </c>
      <c r="J5" s="2">
        <v>5.0457931079621703E-2</v>
      </c>
      <c r="K5" s="3" t="s">
        <v>9</v>
      </c>
      <c r="L5" s="3" t="s">
        <v>15</v>
      </c>
      <c r="M5" s="3">
        <v>625669.6</v>
      </c>
      <c r="N5" s="3">
        <v>12222800</v>
      </c>
      <c r="O5" s="3">
        <v>5.11887292600713E-2</v>
      </c>
    </row>
    <row r="6" spans="1:15">
      <c r="A6" s="1" t="s">
        <v>5</v>
      </c>
      <c r="B6" s="1" t="s">
        <v>16</v>
      </c>
      <c r="C6" s="1">
        <v>395030.1</v>
      </c>
      <c r="D6" s="1">
        <v>12222800</v>
      </c>
      <c r="E6" s="1">
        <v>3.2319116732663501E-2</v>
      </c>
      <c r="F6" s="2" t="s">
        <v>7</v>
      </c>
      <c r="G6" s="2" t="s">
        <v>16</v>
      </c>
      <c r="H6" s="2">
        <v>392155.6</v>
      </c>
      <c r="I6" s="2">
        <v>12222800</v>
      </c>
      <c r="J6" s="2">
        <v>3.2083941486402499E-2</v>
      </c>
      <c r="K6" s="3" t="s">
        <v>9</v>
      </c>
      <c r="L6" s="3" t="s">
        <v>16</v>
      </c>
      <c r="M6" s="3">
        <v>395500.3</v>
      </c>
      <c r="N6" s="3">
        <v>12222800</v>
      </c>
      <c r="O6" s="3">
        <v>3.2357585823215601E-2</v>
      </c>
    </row>
    <row r="7" spans="1:15">
      <c r="A7" s="1" t="s">
        <v>5</v>
      </c>
      <c r="B7" s="1" t="s">
        <v>17</v>
      </c>
      <c r="C7" s="1">
        <v>303967.90000000002</v>
      </c>
      <c r="D7" s="1">
        <v>12222800</v>
      </c>
      <c r="E7" s="1">
        <v>2.4868925287168199E-2</v>
      </c>
      <c r="F7" s="2" t="s">
        <v>7</v>
      </c>
      <c r="G7" s="2" t="s">
        <v>17</v>
      </c>
      <c r="H7" s="2">
        <v>297609.7</v>
      </c>
      <c r="I7" s="2">
        <v>12222800</v>
      </c>
      <c r="J7" s="2">
        <v>2.4348733514415698E-2</v>
      </c>
      <c r="K7" s="3" t="s">
        <v>9</v>
      </c>
      <c r="L7" s="3" t="s">
        <v>17</v>
      </c>
      <c r="M7" s="3">
        <v>296007.09999999998</v>
      </c>
      <c r="N7" s="3">
        <v>12222800</v>
      </c>
      <c r="O7" s="3">
        <v>2.42176178944268E-2</v>
      </c>
    </row>
    <row r="8" spans="1:15">
      <c r="A8" s="1" t="s">
        <v>18</v>
      </c>
      <c r="B8" s="1" t="s">
        <v>6</v>
      </c>
      <c r="C8" s="1">
        <v>73565602.099999994</v>
      </c>
      <c r="D8" s="1">
        <v>43854870</v>
      </c>
      <c r="E8" s="1">
        <v>1.67747851264865</v>
      </c>
      <c r="F8" s="2" t="s">
        <v>19</v>
      </c>
      <c r="G8" s="2" t="s">
        <v>8</v>
      </c>
      <c r="H8" s="2">
        <v>29807274.199999999</v>
      </c>
      <c r="I8" s="2">
        <v>43854870</v>
      </c>
      <c r="J8" s="2">
        <v>0.67967991240197501</v>
      </c>
      <c r="K8" s="3" t="s">
        <v>20</v>
      </c>
      <c r="L8" s="3" t="s">
        <v>10</v>
      </c>
      <c r="M8" s="3">
        <v>23947686.399999999</v>
      </c>
      <c r="N8" s="3">
        <v>43854870</v>
      </c>
      <c r="O8" s="3">
        <v>0.54606675153751405</v>
      </c>
    </row>
    <row r="9" spans="1:15">
      <c r="A9" s="1" t="s">
        <v>18</v>
      </c>
      <c r="B9" s="1" t="s">
        <v>11</v>
      </c>
      <c r="C9" s="1">
        <v>7022439.4000000004</v>
      </c>
      <c r="D9" s="1">
        <v>58883024</v>
      </c>
      <c r="E9" s="1">
        <v>0.119260848423817</v>
      </c>
      <c r="F9" s="2" t="s">
        <v>19</v>
      </c>
      <c r="G9" s="2" t="s">
        <v>12</v>
      </c>
      <c r="H9" s="2">
        <v>56277155</v>
      </c>
      <c r="I9" s="2">
        <v>58883024</v>
      </c>
      <c r="J9" s="2">
        <v>0.95574498687431497</v>
      </c>
      <c r="K9" s="3" t="s">
        <v>20</v>
      </c>
      <c r="L9" s="3" t="s">
        <v>13</v>
      </c>
      <c r="M9" s="3">
        <v>12374986.4</v>
      </c>
      <c r="N9" s="3">
        <v>58883024</v>
      </c>
      <c r="O9" s="3">
        <v>0.21016220906045899</v>
      </c>
    </row>
    <row r="10" spans="1:15">
      <c r="A10" s="1" t="s">
        <v>18</v>
      </c>
      <c r="B10" s="1" t="s">
        <v>14</v>
      </c>
      <c r="C10" s="1">
        <v>2032021</v>
      </c>
      <c r="D10" s="1">
        <v>11647370</v>
      </c>
      <c r="E10" s="1">
        <v>0.174461788369392</v>
      </c>
      <c r="F10" s="2" t="s">
        <v>19</v>
      </c>
      <c r="G10" s="2" t="s">
        <v>14</v>
      </c>
      <c r="H10" s="2">
        <v>5799673.9000000004</v>
      </c>
      <c r="I10" s="2">
        <v>11647370</v>
      </c>
      <c r="J10" s="2">
        <v>0.49793849598664802</v>
      </c>
      <c r="K10" s="3" t="s">
        <v>20</v>
      </c>
      <c r="L10" s="3" t="s">
        <v>14</v>
      </c>
      <c r="M10" s="3">
        <v>9624938.9000000004</v>
      </c>
      <c r="N10" s="3">
        <v>11647370</v>
      </c>
      <c r="O10" s="3">
        <v>0.82636156488546297</v>
      </c>
    </row>
    <row r="11" spans="1:15">
      <c r="A11" s="1" t="s">
        <v>18</v>
      </c>
      <c r="B11" s="1" t="s">
        <v>15</v>
      </c>
      <c r="C11" s="1">
        <v>657975.5</v>
      </c>
      <c r="D11" s="1">
        <v>11647370</v>
      </c>
      <c r="E11" s="1">
        <v>5.6491336670853598E-2</v>
      </c>
      <c r="F11" s="2" t="s">
        <v>19</v>
      </c>
      <c r="G11" s="2" t="s">
        <v>15</v>
      </c>
      <c r="H11" s="2">
        <v>613434.80000000005</v>
      </c>
      <c r="I11" s="2">
        <v>11647370</v>
      </c>
      <c r="J11" s="2">
        <v>5.2667237324821002E-2</v>
      </c>
      <c r="K11" s="3" t="s">
        <v>20</v>
      </c>
      <c r="L11" s="3" t="s">
        <v>15</v>
      </c>
      <c r="M11" s="3">
        <v>615805.1</v>
      </c>
      <c r="N11" s="3">
        <v>11647370</v>
      </c>
      <c r="O11" s="3">
        <v>5.2870742493799E-2</v>
      </c>
    </row>
    <row r="12" spans="1:15">
      <c r="A12" s="1" t="s">
        <v>18</v>
      </c>
      <c r="B12" s="1" t="s">
        <v>16</v>
      </c>
      <c r="C12" s="1">
        <v>383820.79999999999</v>
      </c>
      <c r="D12" s="1">
        <v>11647370</v>
      </c>
      <c r="E12" s="1">
        <v>3.2953430688644703E-2</v>
      </c>
      <c r="F12" s="2" t="s">
        <v>19</v>
      </c>
      <c r="G12" s="2" t="s">
        <v>16</v>
      </c>
      <c r="H12" s="2">
        <v>388116</v>
      </c>
      <c r="I12" s="2">
        <v>11647370</v>
      </c>
      <c r="J12" s="2">
        <v>3.3322200634134602E-2</v>
      </c>
      <c r="K12" s="3" t="s">
        <v>20</v>
      </c>
      <c r="L12" s="3" t="s">
        <v>16</v>
      </c>
      <c r="M12" s="3">
        <v>389070.2</v>
      </c>
      <c r="N12" s="3">
        <v>11647370</v>
      </c>
      <c r="O12" s="3">
        <v>3.3404124707981299E-2</v>
      </c>
    </row>
    <row r="13" spans="1:15">
      <c r="A13" s="1" t="s">
        <v>18</v>
      </c>
      <c r="B13" s="1" t="s">
        <v>17</v>
      </c>
      <c r="C13" s="1">
        <v>1586006</v>
      </c>
      <c r="D13" s="1">
        <v>11647370</v>
      </c>
      <c r="E13" s="1">
        <v>0.13616859428351599</v>
      </c>
      <c r="F13" s="2" t="s">
        <v>19</v>
      </c>
      <c r="G13" s="2" t="s">
        <v>17</v>
      </c>
      <c r="H13" s="2">
        <v>1541586.3</v>
      </c>
      <c r="I13" s="2">
        <v>11647370</v>
      </c>
      <c r="J13" s="2">
        <v>0.132354883548818</v>
      </c>
      <c r="K13" s="3" t="s">
        <v>20</v>
      </c>
      <c r="L13" s="3" t="s">
        <v>17</v>
      </c>
      <c r="M13" s="3">
        <v>1532877.1</v>
      </c>
      <c r="N13" s="3">
        <v>11647370</v>
      </c>
      <c r="O13" s="3">
        <v>0.131607143930347</v>
      </c>
    </row>
    <row r="14" spans="1:15">
      <c r="A14" s="1" t="s">
        <v>21</v>
      </c>
      <c r="B14" s="1" t="s">
        <v>22</v>
      </c>
      <c r="C14" s="1">
        <v>675894036.29999995</v>
      </c>
      <c r="D14" s="1">
        <v>16157851333</v>
      </c>
      <c r="E14" s="1">
        <v>4.1830687903383998E-2</v>
      </c>
      <c r="F14" s="2" t="s">
        <v>21</v>
      </c>
      <c r="G14" s="2" t="s">
        <v>22</v>
      </c>
      <c r="H14" s="2">
        <v>676310211.70000005</v>
      </c>
      <c r="I14" s="2">
        <v>16157851333</v>
      </c>
      <c r="J14" s="2">
        <v>4.18564447562862E-2</v>
      </c>
      <c r="K14" s="3" t="s">
        <v>21</v>
      </c>
      <c r="L14" s="3" t="s">
        <v>22</v>
      </c>
      <c r="M14" s="3">
        <v>675656714.5</v>
      </c>
      <c r="N14" s="3">
        <v>16157851333</v>
      </c>
      <c r="O14" s="3">
        <v>4.1816000195525498E-2</v>
      </c>
    </row>
    <row r="15" spans="1:15">
      <c r="A15" s="1" t="s">
        <v>23</v>
      </c>
      <c r="B15" s="1" t="s">
        <v>24</v>
      </c>
      <c r="C15" s="1">
        <v>12419670.300000001</v>
      </c>
      <c r="D15" s="1">
        <v>258319503</v>
      </c>
      <c r="E15" s="1">
        <v>4.8078717076193801E-2</v>
      </c>
      <c r="F15" s="2" t="s">
        <v>23</v>
      </c>
      <c r="G15" s="2" t="s">
        <v>24</v>
      </c>
      <c r="H15" s="2">
        <v>12406261.800000001</v>
      </c>
      <c r="I15" s="2">
        <v>258319503</v>
      </c>
      <c r="J15" s="2">
        <v>4.8026810426311503E-2</v>
      </c>
      <c r="K15" s="3" t="s">
        <v>23</v>
      </c>
      <c r="L15" s="3" t="s">
        <v>24</v>
      </c>
      <c r="M15" s="3">
        <v>12408308.4</v>
      </c>
      <c r="N15" s="3">
        <v>258319503</v>
      </c>
      <c r="O15" s="3">
        <v>4.8034733173050403E-2</v>
      </c>
    </row>
    <row r="16" spans="1:15">
      <c r="A16" s="1" t="s">
        <v>25</v>
      </c>
      <c r="B16" s="1" t="s">
        <v>26</v>
      </c>
      <c r="C16" s="1">
        <v>792229023.29999995</v>
      </c>
      <c r="D16" s="1">
        <v>16810544156</v>
      </c>
      <c r="E16" s="1">
        <v>4.7126911297350201E-2</v>
      </c>
      <c r="F16" s="2" t="s">
        <v>25</v>
      </c>
      <c r="G16" s="2" t="s">
        <v>26</v>
      </c>
      <c r="H16" s="2">
        <v>881991248.39999998</v>
      </c>
      <c r="I16" s="2">
        <v>16810544156</v>
      </c>
      <c r="J16" s="2">
        <v>5.2466549578360999E-2</v>
      </c>
      <c r="K16" s="3" t="s">
        <v>25</v>
      </c>
      <c r="L16" s="3" t="s">
        <v>26</v>
      </c>
      <c r="M16" s="3">
        <v>762780229.20000005</v>
      </c>
      <c r="N16" s="3">
        <v>16810544156</v>
      </c>
      <c r="O16" s="3">
        <v>4.5375106369043301E-2</v>
      </c>
    </row>
    <row r="17" spans="1:22">
      <c r="A17" s="1" t="s">
        <v>27</v>
      </c>
      <c r="B17" s="1"/>
      <c r="C17" s="1">
        <v>4634594508.8000002</v>
      </c>
      <c r="D17" s="1"/>
      <c r="E17" s="1"/>
      <c r="F17" s="2" t="s">
        <v>27</v>
      </c>
      <c r="G17" s="2"/>
      <c r="H17" s="2">
        <v>4716301516.8000002</v>
      </c>
      <c r="I17" s="2"/>
      <c r="J17" s="2"/>
      <c r="K17" s="3" t="s">
        <v>27</v>
      </c>
      <c r="L17" s="3"/>
      <c r="M17" s="3">
        <v>4588440780.8000002</v>
      </c>
      <c r="N17" s="3"/>
      <c r="O17" s="3"/>
    </row>
    <row r="19" spans="1:22">
      <c r="A19" s="4" t="s">
        <v>0</v>
      </c>
      <c r="B19" s="1" t="s">
        <v>28</v>
      </c>
      <c r="C19" s="2" t="s">
        <v>29</v>
      </c>
      <c r="D19" s="3" t="s">
        <v>30</v>
      </c>
      <c r="F19" s="4" t="s">
        <v>1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4" t="s">
        <v>44</v>
      </c>
    </row>
    <row r="20" spans="1:22">
      <c r="A20" s="4" t="s">
        <v>31</v>
      </c>
      <c r="B20" s="5">
        <f t="array" ref="B20:B34">$E$2:$E$16</f>
        <v>0.118376437116807</v>
      </c>
      <c r="C20" s="6">
        <f t="array" ref="C20:C34">$J$2:$J$16</f>
        <v>0.97358307568779701</v>
      </c>
      <c r="D20" s="7">
        <f t="array" ref="D20:D34">$O$2:$O$16</f>
        <v>0.21189643431723701</v>
      </c>
      <c r="F20" s="1" t="s">
        <v>28</v>
      </c>
      <c r="G20" s="8">
        <f t="array" ref="G20:T20">TRANSPOSE($C$2:$C$15/1000000)</f>
        <v>10.229298099999999</v>
      </c>
      <c r="H20" s="8">
        <v>4.9486577</v>
      </c>
      <c r="I20" s="8">
        <v>2.1276955000000002</v>
      </c>
      <c r="J20" s="8">
        <v>0.66280260000000002</v>
      </c>
      <c r="K20" s="8">
        <v>0.3950301</v>
      </c>
      <c r="L20" s="8">
        <v>0.30396790000000001</v>
      </c>
      <c r="M20" s="8">
        <v>73.565602099999992</v>
      </c>
      <c r="N20" s="8">
        <v>7.0224394000000006</v>
      </c>
      <c r="O20" s="8">
        <v>2.0320209999999999</v>
      </c>
      <c r="P20" s="8">
        <v>0.65797550000000005</v>
      </c>
      <c r="Q20" s="8">
        <v>0.38382079999999996</v>
      </c>
      <c r="R20" s="8">
        <v>1.586006</v>
      </c>
      <c r="S20" s="8">
        <v>675.89403629999993</v>
      </c>
      <c r="T20" s="8">
        <v>12.4196703</v>
      </c>
    </row>
    <row r="21" spans="1:22">
      <c r="A21" s="4" t="s">
        <v>32</v>
      </c>
      <c r="B21" s="5">
        <v>4.5093788172108198E-2</v>
      </c>
      <c r="C21" s="6">
        <v>0.103923920268959</v>
      </c>
      <c r="D21" s="7">
        <v>4.0870042267529702E-2</v>
      </c>
      <c r="F21" s="2" t="s">
        <v>29</v>
      </c>
      <c r="G21" s="9">
        <f t="array" ref="G21:T21">TRANSPOSE($H$2:$H$15/1000000)</f>
        <v>84.130522499999998</v>
      </c>
      <c r="H21" s="9">
        <v>11.4047617</v>
      </c>
      <c r="I21" s="9">
        <v>2.0057480000000001</v>
      </c>
      <c r="J21" s="9">
        <v>0.61673719999999999</v>
      </c>
      <c r="K21" s="9">
        <v>0.39215559999999999</v>
      </c>
      <c r="L21" s="9">
        <v>0.29760970000000003</v>
      </c>
      <c r="M21" s="9">
        <v>29.807274199999998</v>
      </c>
      <c r="N21" s="9">
        <v>56.277155</v>
      </c>
      <c r="O21" s="9">
        <v>5.7996739000000002</v>
      </c>
      <c r="P21" s="9">
        <v>0.61343480000000006</v>
      </c>
      <c r="Q21" s="9">
        <v>0.38811600000000002</v>
      </c>
      <c r="R21" s="9">
        <v>1.5415863000000001</v>
      </c>
      <c r="S21" s="9">
        <v>676.31021170000008</v>
      </c>
      <c r="T21" s="9">
        <v>12.406261800000001</v>
      </c>
    </row>
    <row r="22" spans="1:22">
      <c r="A22" s="4" t="s">
        <v>33</v>
      </c>
      <c r="B22" s="5">
        <v>0.17407594822790201</v>
      </c>
      <c r="C22" s="6">
        <v>0.16409889714304399</v>
      </c>
      <c r="D22" s="7">
        <v>0.17318930196027099</v>
      </c>
      <c r="F22" s="3" t="s">
        <v>30</v>
      </c>
      <c r="G22" s="10">
        <f t="array" ref="G22:T22">TRANSPOSE($M$2:$M$15/1000000)</f>
        <v>18.310669300000001</v>
      </c>
      <c r="H22" s="10">
        <v>4.4851377000000001</v>
      </c>
      <c r="I22" s="10">
        <v>2.1168582000000002</v>
      </c>
      <c r="J22" s="10">
        <v>0.62566959999999994</v>
      </c>
      <c r="K22" s="10">
        <v>0.39550029999999997</v>
      </c>
      <c r="L22" s="10">
        <v>0.29600709999999997</v>
      </c>
      <c r="M22" s="10">
        <v>23.947686399999998</v>
      </c>
      <c r="N22" s="10">
        <v>12.374986400000001</v>
      </c>
      <c r="O22" s="10">
        <v>9.6249389000000001</v>
      </c>
      <c r="P22" s="10">
        <v>0.61580509999999999</v>
      </c>
      <c r="Q22" s="10">
        <v>0.38907020000000003</v>
      </c>
      <c r="R22" s="10">
        <v>1.5328771000000001</v>
      </c>
      <c r="S22" s="10">
        <v>675.65671450000002</v>
      </c>
      <c r="T22" s="10">
        <v>12.408308400000001</v>
      </c>
    </row>
    <row r="23" spans="1:22">
      <c r="A23" s="4" t="s">
        <v>34</v>
      </c>
      <c r="B23" s="5">
        <v>5.4226740190463703E-2</v>
      </c>
      <c r="C23" s="6">
        <v>5.0457931079621703E-2</v>
      </c>
      <c r="D23" s="7">
        <v>5.11887292600713E-2</v>
      </c>
    </row>
    <row r="24" spans="1:22">
      <c r="A24" s="4" t="s">
        <v>35</v>
      </c>
      <c r="B24" s="5">
        <v>3.2319116732663501E-2</v>
      </c>
      <c r="C24" s="6">
        <v>3.2083941486402499E-2</v>
      </c>
      <c r="D24" s="7">
        <v>3.2357585823215601E-2</v>
      </c>
      <c r="F24" s="4" t="s">
        <v>45</v>
      </c>
      <c r="G24" s="4" t="s">
        <v>46</v>
      </c>
      <c r="H24" s="4" t="s">
        <v>54</v>
      </c>
      <c r="I24" s="4" t="s">
        <v>55</v>
      </c>
      <c r="K24" s="4" t="s">
        <v>56</v>
      </c>
      <c r="L24" s="4" t="s">
        <v>57</v>
      </c>
      <c r="M24" s="4" t="s">
        <v>58</v>
      </c>
      <c r="O24" s="4" t="s">
        <v>28</v>
      </c>
      <c r="P24" s="4" t="s">
        <v>29</v>
      </c>
      <c r="Q24" s="4" t="s">
        <v>30</v>
      </c>
      <c r="R24" s="4" t="s">
        <v>47</v>
      </c>
      <c r="S24" s="4" t="s">
        <v>28</v>
      </c>
      <c r="T24" s="4" t="s">
        <v>29</v>
      </c>
      <c r="U24" s="4" t="s">
        <v>30</v>
      </c>
    </row>
    <row r="25" spans="1:22">
      <c r="A25" s="4" t="s">
        <v>36</v>
      </c>
      <c r="B25" s="5">
        <v>2.4868925287168199E-2</v>
      </c>
      <c r="C25" s="6">
        <v>2.4348733514415698E-2</v>
      </c>
      <c r="D25" s="7">
        <v>2.42176178944268E-2</v>
      </c>
      <c r="F25" s="4" t="s">
        <v>31</v>
      </c>
      <c r="G25" s="4">
        <f>'sequence-1-simulation-1'!$D$2</f>
        <v>4332776</v>
      </c>
      <c r="H25" s="4">
        <f>'sequence-2-simulation-1'!$D$2</f>
        <v>78233950</v>
      </c>
      <c r="I25" s="4">
        <f>$D$2</f>
        <v>86413296</v>
      </c>
      <c r="J25" s="4" t="s">
        <v>31</v>
      </c>
      <c r="K25" s="11">
        <f t="array" ref="K25:K29">$G$25:$G$29/$G$29</f>
        <v>0.35981281790437436</v>
      </c>
      <c r="L25" s="11">
        <f t="array" ref="L25:L29">$H$25:$H$29/$H$29</f>
        <v>0.28164725697954385</v>
      </c>
      <c r="M25" s="11">
        <f t="array" ref="M25:M29">$I$25:$I$29/$I$29</f>
        <v>0.28911148832570788</v>
      </c>
      <c r="O25" s="4">
        <f>SUM($C$4:$C$7,$C$10:$C$13)</f>
        <v>8149319.3999999994</v>
      </c>
      <c r="P25" s="4">
        <f>SUM($H$4:$H$7,$H$10:$H$13)</f>
        <v>11655061.500000002</v>
      </c>
      <c r="Q25" s="4">
        <f>SUM($M$4:$M$7,$M$10:$M$13)</f>
        <v>15596726.5</v>
      </c>
      <c r="R25" s="4" t="s">
        <v>48</v>
      </c>
      <c r="S25" s="11">
        <f t="array" ref="S25:S29">$O$25:$O$29/$P$25:$P$29</f>
        <v>0.69920861421451941</v>
      </c>
      <c r="T25" s="11">
        <v>1</v>
      </c>
      <c r="U25" s="11">
        <f t="array" ref="U25:U29">$Q$25:$Q$29/$P$25:$P$29</f>
        <v>1.3381934106482405</v>
      </c>
      <c r="V25" s="11"/>
    </row>
    <row r="26" spans="1:22">
      <c r="A26" s="4" t="s">
        <v>37</v>
      </c>
      <c r="B26" s="5">
        <v>1.67747851264865</v>
      </c>
      <c r="C26" s="6">
        <v>0.67967991240197501</v>
      </c>
      <c r="D26" s="7">
        <v>0.54606675153751405</v>
      </c>
      <c r="F26" s="4" t="s">
        <v>32</v>
      </c>
      <c r="G26" s="4">
        <f>'sequence-1-simulation-1'!$D$3</f>
        <v>3836730</v>
      </c>
      <c r="H26" s="4">
        <f>'sequence-2-simulation-1'!$D$3</f>
        <v>84091350</v>
      </c>
      <c r="I26" s="4">
        <f>$D$3</f>
        <v>109741450</v>
      </c>
      <c r="J26" s="4" t="s">
        <v>32</v>
      </c>
      <c r="K26" s="11">
        <v>0.31861897149500695</v>
      </c>
      <c r="L26" s="11">
        <v>0.30273427409975801</v>
      </c>
      <c r="M26" s="11">
        <v>0.36716009467479693</v>
      </c>
      <c r="O26" s="4">
        <f>SUM($C$2,$C$3,$C$8,$C$9)</f>
        <v>95765997.299999997</v>
      </c>
      <c r="P26" s="4">
        <f>SUM($H$2,$H$3,$H$8,$H$9)</f>
        <v>181619713.40000001</v>
      </c>
      <c r="Q26" s="4">
        <f>SUM($M$2,$M$3,$M$8,$M$9)</f>
        <v>59118479.799999997</v>
      </c>
      <c r="R26" s="4" t="s">
        <v>49</v>
      </c>
      <c r="S26" s="11">
        <v>0.52728856084628084</v>
      </c>
      <c r="T26" s="11">
        <v>1</v>
      </c>
      <c r="U26" s="11">
        <v>0.32550695457710149</v>
      </c>
      <c r="V26" s="11"/>
    </row>
    <row r="27" spans="1:22">
      <c r="A27" s="4" t="s">
        <v>38</v>
      </c>
      <c r="B27" s="5">
        <v>0.119260848423817</v>
      </c>
      <c r="C27" s="6">
        <v>0.95574498687431497</v>
      </c>
      <c r="D27" s="7">
        <v>0.21016220906045899</v>
      </c>
      <c r="F27" s="4" t="s">
        <v>37</v>
      </c>
      <c r="G27" s="4">
        <f>'sequence-1-simulation-1'!$D$8</f>
        <v>1837830</v>
      </c>
      <c r="H27" s="4">
        <f>'sequence-2-simulation-1'!$D$8</f>
        <v>54315320</v>
      </c>
      <c r="I27" s="4">
        <f>$D$8</f>
        <v>43854870</v>
      </c>
      <c r="J27" s="4" t="s">
        <v>37</v>
      </c>
      <c r="K27" s="11">
        <v>0.15262150434945088</v>
      </c>
      <c r="L27" s="11">
        <v>0.19553864901319895</v>
      </c>
      <c r="M27" s="11">
        <v>0.14672448943540398</v>
      </c>
      <c r="O27" s="4">
        <f>SUM($C$14,$C$15)</f>
        <v>688313706.5999999</v>
      </c>
      <c r="P27" s="4">
        <f>SUM($H$14,$H$15)</f>
        <v>688716473.5</v>
      </c>
      <c r="Q27" s="4">
        <f>SUM($M$14,$M$15)</f>
        <v>688065022.89999998</v>
      </c>
      <c r="R27" s="4" t="s">
        <v>50</v>
      </c>
      <c r="S27" s="11">
        <v>0.99941519200498685</v>
      </c>
      <c r="T27" s="11">
        <v>1</v>
      </c>
      <c r="U27" s="11">
        <v>0.99905410916528625</v>
      </c>
      <c r="V27" s="11"/>
    </row>
    <row r="28" spans="1:22">
      <c r="A28" s="4" t="s">
        <v>39</v>
      </c>
      <c r="B28" s="5">
        <v>0.174461788369392</v>
      </c>
      <c r="C28" s="6">
        <v>0.49793849598664802</v>
      </c>
      <c r="D28" s="7">
        <v>0.82636156488546297</v>
      </c>
      <c r="F28" s="4" t="s">
        <v>38</v>
      </c>
      <c r="G28" s="4">
        <f>'sequence-1-simulation-1'!$D$9</f>
        <v>2034414</v>
      </c>
      <c r="H28" s="4">
        <f>'sequence-2-simulation-1'!$D$9</f>
        <v>61132190</v>
      </c>
      <c r="I28" s="4">
        <f>$D$9</f>
        <v>58883024</v>
      </c>
      <c r="J28" s="4" t="s">
        <v>38</v>
      </c>
      <c r="K28" s="11">
        <v>0.16894670625116781</v>
      </c>
      <c r="L28" s="11">
        <v>0.22007981990749922</v>
      </c>
      <c r="M28" s="11">
        <v>0.19700392756409124</v>
      </c>
      <c r="O28" s="4">
        <f>$C$16</f>
        <v>792229023.29999995</v>
      </c>
      <c r="P28" s="4">
        <f>$H$16</f>
        <v>881991248.39999998</v>
      </c>
      <c r="Q28" s="4">
        <f>$M$16</f>
        <v>762780229.20000005</v>
      </c>
      <c r="R28" s="4" t="s">
        <v>51</v>
      </c>
      <c r="S28" s="11">
        <v>0.89822775989803116</v>
      </c>
      <c r="T28" s="11">
        <v>1</v>
      </c>
      <c r="U28" s="11">
        <v>0.86483877315533697</v>
      </c>
      <c r="V28" s="11"/>
    </row>
    <row r="29" spans="1:22">
      <c r="A29" s="4" t="s">
        <v>40</v>
      </c>
      <c r="B29" s="5">
        <v>5.6491336670853598E-2</v>
      </c>
      <c r="C29" s="6">
        <v>5.2667237324821002E-2</v>
      </c>
      <c r="D29" s="7">
        <v>5.2870742493799E-2</v>
      </c>
      <c r="F29" s="4" t="s">
        <v>25</v>
      </c>
      <c r="G29" s="4">
        <f>SUM($G$25:$G$28)</f>
        <v>12041750</v>
      </c>
      <c r="H29" s="4">
        <f>SUM($H$25:$H$28)</f>
        <v>277772810</v>
      </c>
      <c r="I29" s="4">
        <f>SUM($I$25:$I$28)</f>
        <v>298892640</v>
      </c>
      <c r="J29" s="4" t="s">
        <v>25</v>
      </c>
      <c r="K29" s="11">
        <v>1</v>
      </c>
      <c r="L29" s="11">
        <v>1</v>
      </c>
      <c r="M29" s="11">
        <v>1</v>
      </c>
      <c r="O29" s="4">
        <f>$C$17</f>
        <v>4634594508.8000002</v>
      </c>
      <c r="P29" s="4">
        <f>$H$17</f>
        <v>4716301516.8000002</v>
      </c>
      <c r="Q29" s="4">
        <f>$M$17</f>
        <v>4588440780.8000002</v>
      </c>
      <c r="R29" s="4" t="s">
        <v>52</v>
      </c>
      <c r="S29" s="11">
        <v>0.98267561823412897</v>
      </c>
      <c r="T29" s="11">
        <v>1</v>
      </c>
      <c r="U29" s="11">
        <v>0.97288961794648932</v>
      </c>
      <c r="V29" s="11"/>
    </row>
    <row r="30" spans="1:22">
      <c r="A30" s="4" t="s">
        <v>41</v>
      </c>
      <c r="B30" s="5">
        <v>3.2953430688644703E-2</v>
      </c>
      <c r="C30" s="6">
        <v>3.3322200634134602E-2</v>
      </c>
      <c r="D30" s="7">
        <v>3.3404124707981299E-2</v>
      </c>
    </row>
    <row r="31" spans="1:22">
      <c r="A31" s="4" t="s">
        <v>42</v>
      </c>
      <c r="B31" s="5">
        <v>0.13616859428351599</v>
      </c>
      <c r="C31" s="6">
        <v>0.132354883548818</v>
      </c>
      <c r="D31" s="7">
        <v>0.131607143930347</v>
      </c>
    </row>
    <row r="32" spans="1:22">
      <c r="A32" s="4" t="s">
        <v>43</v>
      </c>
      <c r="B32" s="5">
        <v>4.1830687903383998E-2</v>
      </c>
      <c r="C32" s="6">
        <v>4.18564447562862E-2</v>
      </c>
      <c r="D32" s="7">
        <v>4.1816000195525498E-2</v>
      </c>
    </row>
    <row r="33" spans="1:20">
      <c r="A33" s="4" t="s">
        <v>44</v>
      </c>
      <c r="B33" s="5">
        <v>4.8078717076193801E-2</v>
      </c>
      <c r="C33" s="6">
        <v>4.8026810426311503E-2</v>
      </c>
      <c r="D33" s="7">
        <v>4.8034733173050403E-2</v>
      </c>
    </row>
    <row r="34" spans="1:20">
      <c r="A34" s="4" t="s">
        <v>25</v>
      </c>
      <c r="B34" s="5">
        <v>4.7126911297350201E-2</v>
      </c>
      <c r="C34" s="6">
        <v>5.2466549578360999E-2</v>
      </c>
      <c r="D34" s="7">
        <v>4.5375106369043301E-2</v>
      </c>
    </row>
    <row r="35" spans="1:20">
      <c r="A35" s="4" t="s">
        <v>53</v>
      </c>
      <c r="B35" s="12"/>
      <c r="C35" s="13"/>
      <c r="D35" s="14"/>
    </row>
    <row r="39" spans="1:20">
      <c r="S39" s="15"/>
      <c r="T39" s="15"/>
    </row>
    <row r="40" spans="1:20">
      <c r="S40" s="15"/>
      <c r="T40" s="15"/>
    </row>
    <row r="41" spans="1:20">
      <c r="S41" s="15"/>
      <c r="T41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R103"/>
  <sheetViews>
    <sheetView topLeftCell="A63" workbookViewId="0"/>
  </sheetViews>
  <sheetFormatPr defaultColWidth="12.5703125" defaultRowHeight="15.75" customHeight="1"/>
  <cols>
    <col min="1" max="1" width="29.85546875" customWidth="1"/>
  </cols>
  <sheetData>
    <row r="2" spans="1:44">
      <c r="A2" s="4" t="s">
        <v>1</v>
      </c>
      <c r="B2" s="4" t="s">
        <v>59</v>
      </c>
      <c r="C2" s="4" t="s">
        <v>60</v>
      </c>
      <c r="D2" s="4" t="s">
        <v>61</v>
      </c>
      <c r="F2" s="4" t="s">
        <v>62</v>
      </c>
      <c r="G2" s="4" t="s">
        <v>28</v>
      </c>
      <c r="H2" s="4" t="s">
        <v>29</v>
      </c>
      <c r="I2" s="4" t="s">
        <v>30</v>
      </c>
      <c r="AO2" s="4" t="s">
        <v>63</v>
      </c>
      <c r="AP2" s="4" t="s">
        <v>28</v>
      </c>
      <c r="AQ2" s="4" t="s">
        <v>29</v>
      </c>
      <c r="AR2" s="4" t="s">
        <v>64</v>
      </c>
    </row>
    <row r="3" spans="1:44">
      <c r="A3" s="4" t="s">
        <v>65</v>
      </c>
      <c r="B3" s="16"/>
      <c r="C3" s="16">
        <v>2</v>
      </c>
      <c r="D3" s="16"/>
      <c r="F3" s="4" t="s">
        <v>63</v>
      </c>
      <c r="G3" s="11"/>
      <c r="H3" s="11"/>
      <c r="I3" s="11"/>
      <c r="J3" s="11">
        <v>2</v>
      </c>
      <c r="AO3" s="4" t="s">
        <v>59</v>
      </c>
      <c r="AP3" s="11">
        <v>0.75497773088046871</v>
      </c>
      <c r="AQ3" s="11">
        <v>1</v>
      </c>
      <c r="AR3" s="11">
        <v>1.2650711966058239</v>
      </c>
    </row>
    <row r="4" spans="1:44">
      <c r="A4" s="4" t="s">
        <v>28</v>
      </c>
      <c r="B4" s="16">
        <v>0.13170050790000001</v>
      </c>
      <c r="C4" s="16">
        <v>0.1179953409</v>
      </c>
      <c r="D4" s="16">
        <v>0.1183764371</v>
      </c>
      <c r="F4" s="4" t="s">
        <v>59</v>
      </c>
      <c r="G4" s="11">
        <v>0.75497773089999998</v>
      </c>
      <c r="H4" s="11">
        <v>1</v>
      </c>
      <c r="I4" s="11">
        <v>1.2650711966058239</v>
      </c>
      <c r="J4" s="11"/>
      <c r="AO4" s="4" t="s">
        <v>60</v>
      </c>
      <c r="AP4" s="11">
        <v>0.71546710365827071</v>
      </c>
      <c r="AQ4" s="11">
        <v>1</v>
      </c>
      <c r="AR4" s="11">
        <v>1.3207804294927177</v>
      </c>
    </row>
    <row r="5" spans="1:44">
      <c r="A5" s="4" t="s">
        <v>29</v>
      </c>
      <c r="B5" s="16">
        <v>1.00350742803228</v>
      </c>
      <c r="C5" s="16">
        <v>0.96831688288780005</v>
      </c>
      <c r="D5" s="16">
        <v>0.97358307568779701</v>
      </c>
      <c r="F5" s="4" t="s">
        <v>60</v>
      </c>
      <c r="G5" s="11">
        <v>0.71546710365827071</v>
      </c>
      <c r="H5" s="11">
        <v>1</v>
      </c>
      <c r="I5" s="11">
        <v>1.3207804294927177</v>
      </c>
      <c r="J5" s="11"/>
      <c r="AO5" s="4" t="s">
        <v>61</v>
      </c>
      <c r="AP5" s="11">
        <v>0.69920861421451963</v>
      </c>
      <c r="AQ5" s="11">
        <v>1</v>
      </c>
      <c r="AR5" s="11">
        <v>1.3381934106482407</v>
      </c>
    </row>
    <row r="6" spans="1:44">
      <c r="A6" s="4" t="s">
        <v>30</v>
      </c>
      <c r="B6" s="16">
        <v>0.23667230893081001</v>
      </c>
      <c r="C6" s="16">
        <v>0.209521584938508</v>
      </c>
      <c r="D6" s="16">
        <v>0.21189643431723701</v>
      </c>
      <c r="F6" s="4" t="s">
        <v>61</v>
      </c>
      <c r="G6" s="11">
        <v>0.69920861421451963</v>
      </c>
      <c r="H6" s="11">
        <v>1</v>
      </c>
      <c r="I6" s="11">
        <v>1.3381934106482407</v>
      </c>
      <c r="J6" s="11"/>
    </row>
    <row r="7" spans="1:44">
      <c r="A7" s="4" t="s">
        <v>66</v>
      </c>
      <c r="B7" s="16" t="s">
        <v>26</v>
      </c>
      <c r="C7" s="16">
        <v>2</v>
      </c>
      <c r="D7" s="16" t="s">
        <v>26</v>
      </c>
      <c r="F7" s="4" t="s">
        <v>67</v>
      </c>
      <c r="G7" s="11" t="s">
        <v>26</v>
      </c>
      <c r="H7" s="11" t="s">
        <v>26</v>
      </c>
      <c r="I7" s="11" t="s">
        <v>26</v>
      </c>
      <c r="J7" s="17">
        <v>2</v>
      </c>
      <c r="AO7" s="4" t="s">
        <v>67</v>
      </c>
      <c r="AP7" s="4" t="s">
        <v>28</v>
      </c>
      <c r="AQ7" s="4" t="s">
        <v>29</v>
      </c>
      <c r="AR7" s="4" t="s">
        <v>64</v>
      </c>
    </row>
    <row r="8" spans="1:44">
      <c r="A8" s="4" t="s">
        <v>28</v>
      </c>
      <c r="B8" s="16">
        <v>5.0290716313110398E-2</v>
      </c>
      <c r="C8" s="16">
        <v>4.52796643174357E-2</v>
      </c>
      <c r="D8" s="16">
        <v>4.5093788172108198E-2</v>
      </c>
      <c r="F8" s="4" t="s">
        <v>59</v>
      </c>
      <c r="G8" s="11">
        <v>0.5146340849840878</v>
      </c>
      <c r="H8" s="11">
        <v>1</v>
      </c>
      <c r="I8" s="11">
        <v>0.34291673607401457</v>
      </c>
      <c r="J8" s="11"/>
      <c r="AO8" s="4" t="s">
        <v>59</v>
      </c>
      <c r="AP8" s="11">
        <v>0.5146340849840878</v>
      </c>
      <c r="AQ8" s="11">
        <v>1</v>
      </c>
      <c r="AR8" s="11">
        <v>0.34291673607401457</v>
      </c>
    </row>
    <row r="9" spans="1:44">
      <c r="A9" s="4" t="s">
        <v>29</v>
      </c>
      <c r="B9" s="16">
        <v>0.11322795714058601</v>
      </c>
      <c r="C9" s="16">
        <v>0.104455585503146</v>
      </c>
      <c r="D9" s="16">
        <v>0.103923920268959</v>
      </c>
      <c r="F9" s="4" t="s">
        <v>60</v>
      </c>
      <c r="G9" s="11">
        <v>0.61130048584579799</v>
      </c>
      <c r="H9" s="11">
        <v>1</v>
      </c>
      <c r="I9" s="11">
        <v>0.34609215041080665</v>
      </c>
      <c r="J9" s="11"/>
      <c r="AO9" s="4" t="s">
        <v>60</v>
      </c>
      <c r="AP9" s="11">
        <v>0.61130048584579799</v>
      </c>
      <c r="AQ9" s="11">
        <v>1</v>
      </c>
      <c r="AR9" s="11">
        <v>0.34609215041080665</v>
      </c>
    </row>
    <row r="10" spans="1:44">
      <c r="A10" s="4" t="s">
        <v>30</v>
      </c>
      <c r="B10" s="16">
        <v>4.49146017572256E-2</v>
      </c>
      <c r="C10" s="16">
        <v>4.0818951057391799E-2</v>
      </c>
      <c r="D10" s="16">
        <v>4.0870042267529702E-2</v>
      </c>
      <c r="F10" s="4" t="s">
        <v>61</v>
      </c>
      <c r="G10" s="11">
        <v>0.52728856084628084</v>
      </c>
      <c r="H10" s="11">
        <v>1</v>
      </c>
      <c r="I10" s="11">
        <v>0.32550695457710149</v>
      </c>
      <c r="J10" s="11"/>
      <c r="AO10" s="4" t="s">
        <v>61</v>
      </c>
      <c r="AP10" s="11">
        <v>0.52728856084628084</v>
      </c>
      <c r="AQ10" s="11">
        <v>1</v>
      </c>
      <c r="AR10" s="11">
        <v>0.32550695457710149</v>
      </c>
    </row>
    <row r="11" spans="1:44">
      <c r="A11" s="4" t="s">
        <v>68</v>
      </c>
      <c r="B11" s="16" t="s">
        <v>26</v>
      </c>
      <c r="C11" s="16">
        <v>2</v>
      </c>
      <c r="D11" s="16" t="s">
        <v>26</v>
      </c>
      <c r="F11" s="4" t="s">
        <v>69</v>
      </c>
      <c r="G11" s="11" t="s">
        <v>26</v>
      </c>
      <c r="H11" s="11" t="s">
        <v>26</v>
      </c>
      <c r="I11" s="11" t="s">
        <v>26</v>
      </c>
      <c r="J11" s="17">
        <v>2</v>
      </c>
    </row>
    <row r="12" spans="1:44">
      <c r="A12" s="4" t="s">
        <v>28</v>
      </c>
      <c r="B12" s="16">
        <v>0.194254188802615</v>
      </c>
      <c r="C12" s="16">
        <v>0.17514092149777399</v>
      </c>
      <c r="D12" s="16">
        <v>0.17407594822790201</v>
      </c>
      <c r="F12" s="4" t="s">
        <v>59</v>
      </c>
      <c r="G12" s="11">
        <v>1.0178199116702051</v>
      </c>
      <c r="H12" s="11">
        <v>1</v>
      </c>
      <c r="I12" s="11">
        <v>1.027930031344239</v>
      </c>
      <c r="J12" s="11"/>
    </row>
    <row r="13" spans="1:44">
      <c r="A13" s="4" t="s">
        <v>29</v>
      </c>
      <c r="B13" s="16">
        <v>0.191154919066825</v>
      </c>
      <c r="C13" s="16">
        <v>0.166175624287309</v>
      </c>
      <c r="D13" s="16">
        <v>0.16409889714304399</v>
      </c>
      <c r="F13" s="4" t="s">
        <v>60</v>
      </c>
      <c r="G13" s="11">
        <v>1.0001378277486912</v>
      </c>
      <c r="H13" s="11">
        <v>1</v>
      </c>
      <c r="I13" s="11">
        <v>1.0021977966483335</v>
      </c>
      <c r="J13" s="11"/>
      <c r="AO13" s="4" t="s">
        <v>51</v>
      </c>
      <c r="AP13" s="4" t="s">
        <v>28</v>
      </c>
      <c r="AQ13" s="4" t="s">
        <v>29</v>
      </c>
      <c r="AR13" s="4" t="s">
        <v>64</v>
      </c>
    </row>
    <row r="14" spans="1:44">
      <c r="A14" s="4" t="s">
        <v>30</v>
      </c>
      <c r="B14" s="16">
        <v>0.198074128036105</v>
      </c>
      <c r="C14" s="16">
        <v>0.173531078061927</v>
      </c>
      <c r="D14" s="16">
        <v>0.17318930196027099</v>
      </c>
      <c r="F14" s="4" t="s">
        <v>61</v>
      </c>
      <c r="G14" s="11">
        <v>0.99941519200498685</v>
      </c>
      <c r="H14" s="11">
        <v>1</v>
      </c>
      <c r="I14" s="11">
        <v>0.99905410916528625</v>
      </c>
      <c r="J14" s="11"/>
      <c r="AO14" s="4" t="s">
        <v>59</v>
      </c>
      <c r="AP14" s="11">
        <v>0.72149337845311268</v>
      </c>
      <c r="AQ14" s="11">
        <v>1</v>
      </c>
      <c r="AR14" s="11">
        <v>0.64932838872096088</v>
      </c>
    </row>
    <row r="15" spans="1:44">
      <c r="A15" s="4" t="s">
        <v>70</v>
      </c>
      <c r="B15" s="16" t="s">
        <v>26</v>
      </c>
      <c r="C15" s="16">
        <v>2</v>
      </c>
      <c r="D15" s="16" t="s">
        <v>26</v>
      </c>
      <c r="F15" s="4" t="s">
        <v>51</v>
      </c>
      <c r="G15" s="11" t="s">
        <v>26</v>
      </c>
      <c r="H15" s="11" t="s">
        <v>26</v>
      </c>
      <c r="I15" s="11" t="s">
        <v>26</v>
      </c>
      <c r="J15" s="17">
        <v>2</v>
      </c>
      <c r="AO15" s="4" t="s">
        <v>60</v>
      </c>
      <c r="AP15" s="11">
        <v>0.85146293198123624</v>
      </c>
      <c r="AQ15" s="11">
        <v>1</v>
      </c>
      <c r="AR15" s="11">
        <v>0.76142039374988668</v>
      </c>
    </row>
    <row r="16" spans="1:44">
      <c r="A16" s="4" t="s">
        <v>28</v>
      </c>
      <c r="B16" s="16">
        <v>7.1025745811197402E-2</v>
      </c>
      <c r="C16" s="16">
        <v>5.5862599174783201E-2</v>
      </c>
      <c r="D16" s="16">
        <v>5.4226740190463703E-2</v>
      </c>
      <c r="F16" s="4" t="s">
        <v>59</v>
      </c>
      <c r="G16" s="11">
        <v>0.72149337845311268</v>
      </c>
      <c r="H16" s="11">
        <v>1</v>
      </c>
      <c r="I16" s="11">
        <v>0.64932838872096088</v>
      </c>
      <c r="J16" s="11"/>
      <c r="AO16" s="4" t="s">
        <v>61</v>
      </c>
      <c r="AP16" s="11">
        <v>0.89822775989803116</v>
      </c>
      <c r="AQ16" s="11">
        <v>1</v>
      </c>
      <c r="AR16" s="11">
        <v>0.86483877315533697</v>
      </c>
    </row>
    <row r="17" spans="1:10">
      <c r="A17" s="4" t="s">
        <v>29</v>
      </c>
      <c r="B17" s="16">
        <v>6.3990867255379294E-2</v>
      </c>
      <c r="C17" s="16">
        <v>5.1840931645291001E-2</v>
      </c>
      <c r="D17" s="16">
        <v>5.0457931079621703E-2</v>
      </c>
      <c r="F17" s="4" t="s">
        <v>60</v>
      </c>
      <c r="G17" s="11">
        <v>0.85146293198123624</v>
      </c>
      <c r="H17" s="11">
        <v>1</v>
      </c>
      <c r="I17" s="11">
        <v>0.76142039374988668</v>
      </c>
      <c r="J17" s="11"/>
    </row>
    <row r="18" spans="1:10">
      <c r="A18" s="4" t="s">
        <v>30</v>
      </c>
      <c r="B18" s="16">
        <v>6.6393454274089006E-2</v>
      </c>
      <c r="C18" s="16">
        <v>5.07521546275259E-2</v>
      </c>
      <c r="D18" s="16">
        <v>5.11887292600713E-2</v>
      </c>
      <c r="F18" s="4" t="s">
        <v>61</v>
      </c>
      <c r="G18" s="11">
        <v>0.89822775989803116</v>
      </c>
      <c r="H18" s="11">
        <v>1</v>
      </c>
      <c r="I18" s="11">
        <v>0.86483877315533697</v>
      </c>
      <c r="J18" s="11"/>
    </row>
    <row r="19" spans="1:10">
      <c r="A19" s="4" t="s">
        <v>71</v>
      </c>
      <c r="B19" s="16" t="s">
        <v>26</v>
      </c>
      <c r="C19" s="16">
        <v>2</v>
      </c>
      <c r="D19" s="16" t="s">
        <v>26</v>
      </c>
      <c r="F19" s="4" t="s">
        <v>72</v>
      </c>
      <c r="G19" s="11" t="s">
        <v>26</v>
      </c>
      <c r="H19" s="11" t="s">
        <v>26</v>
      </c>
      <c r="I19" s="11" t="s">
        <v>26</v>
      </c>
      <c r="J19" s="17">
        <v>2</v>
      </c>
    </row>
    <row r="20" spans="1:10">
      <c r="A20" s="4" t="s">
        <v>28</v>
      </c>
      <c r="B20" s="16">
        <v>3.6176329489525802E-2</v>
      </c>
      <c r="C20" s="16">
        <v>3.2541626320252197E-2</v>
      </c>
      <c r="D20" s="16">
        <v>3.2319116732663501E-2</v>
      </c>
      <c r="F20" s="4" t="s">
        <v>59</v>
      </c>
      <c r="G20" s="11">
        <v>1.001265765967952</v>
      </c>
      <c r="H20" s="11">
        <v>1</v>
      </c>
      <c r="I20" s="11">
        <v>1.0006104403249696</v>
      </c>
      <c r="J20" s="11"/>
    </row>
    <row r="21" spans="1:10">
      <c r="A21" s="4" t="s">
        <v>29</v>
      </c>
      <c r="B21" s="16">
        <v>3.8399815212949301E-2</v>
      </c>
      <c r="C21" s="16">
        <v>3.2933440885551502E-2</v>
      </c>
      <c r="D21" s="16">
        <v>3.2083941486402499E-2</v>
      </c>
      <c r="F21" s="4" t="s">
        <v>60</v>
      </c>
      <c r="G21" s="11">
        <v>0.97366611068711684</v>
      </c>
      <c r="H21" s="11">
        <v>1</v>
      </c>
      <c r="I21" s="11">
        <v>0.9460397227898274</v>
      </c>
      <c r="J21" s="11"/>
    </row>
    <row r="22" spans="1:10">
      <c r="A22" s="4" t="s">
        <v>30</v>
      </c>
      <c r="B22" s="16">
        <v>3.9953803237327001E-2</v>
      </c>
      <c r="C22" s="16">
        <v>3.2951448429112698E-2</v>
      </c>
      <c r="D22" s="16">
        <v>3.2357585823215601E-2</v>
      </c>
      <c r="F22" s="4" t="s">
        <v>61</v>
      </c>
      <c r="G22" s="11">
        <v>0.98267561823412897</v>
      </c>
      <c r="H22" s="11">
        <v>1</v>
      </c>
      <c r="I22" s="11">
        <v>0.97288961794648932</v>
      </c>
      <c r="J22" s="11"/>
    </row>
    <row r="23" spans="1:10">
      <c r="A23" s="4" t="s">
        <v>73</v>
      </c>
      <c r="B23" s="16" t="s">
        <v>26</v>
      </c>
      <c r="C23" s="16">
        <v>2</v>
      </c>
      <c r="D23" s="16" t="s">
        <v>26</v>
      </c>
      <c r="G23" s="11" t="s">
        <v>26</v>
      </c>
      <c r="H23" s="11" t="s">
        <v>26</v>
      </c>
      <c r="I23" s="11" t="s">
        <v>26</v>
      </c>
    </row>
    <row r="24" spans="1:10">
      <c r="A24" s="4" t="s">
        <v>28</v>
      </c>
      <c r="B24" s="16">
        <v>2.9279152822444501E-2</v>
      </c>
      <c r="C24" s="16">
        <v>2.5112198863821999E-2</v>
      </c>
      <c r="D24" s="16">
        <v>2.4868925287168199E-2</v>
      </c>
    </row>
    <row r="25" spans="1:10">
      <c r="A25" s="4" t="s">
        <v>29</v>
      </c>
      <c r="B25" s="16">
        <v>2.7813827046427701E-2</v>
      </c>
      <c r="C25" s="16">
        <v>2.4418745044485698E-2</v>
      </c>
      <c r="D25" s="16">
        <v>2.4348733514415698E-2</v>
      </c>
    </row>
    <row r="26" spans="1:10">
      <c r="A26" s="4" t="s">
        <v>30</v>
      </c>
      <c r="B26" s="16">
        <v>2.85613262024484E-2</v>
      </c>
      <c r="C26" s="16">
        <v>2.43084982878214E-2</v>
      </c>
      <c r="D26" s="16">
        <v>2.42176178944268E-2</v>
      </c>
    </row>
    <row r="27" spans="1:10">
      <c r="A27" s="4" t="s">
        <v>74</v>
      </c>
      <c r="B27" s="16" t="s">
        <v>26</v>
      </c>
      <c r="C27" s="16">
        <v>2</v>
      </c>
      <c r="D27" s="16" t="s">
        <v>26</v>
      </c>
    </row>
    <row r="28" spans="1:10">
      <c r="A28" s="4" t="s">
        <v>28</v>
      </c>
      <c r="B28" s="16">
        <v>1.7629313919132901</v>
      </c>
      <c r="C28" s="16">
        <v>1.6406739903217</v>
      </c>
      <c r="D28" s="16">
        <v>1.67747851264865</v>
      </c>
    </row>
    <row r="29" spans="1:10">
      <c r="A29" s="4" t="s">
        <v>29</v>
      </c>
      <c r="B29" s="16">
        <v>0.72986054205231199</v>
      </c>
      <c r="C29" s="16">
        <v>0.66732959135654502</v>
      </c>
      <c r="D29" s="16">
        <v>0.67967991240197501</v>
      </c>
    </row>
    <row r="30" spans="1:10">
      <c r="A30" s="4" t="s">
        <v>30</v>
      </c>
      <c r="B30" s="16">
        <v>0.61645549370725305</v>
      </c>
      <c r="C30" s="16">
        <v>0.54065375477857802</v>
      </c>
      <c r="D30" s="16">
        <v>0.54606675153751405</v>
      </c>
    </row>
    <row r="31" spans="1:10">
      <c r="A31" s="4" t="s">
        <v>75</v>
      </c>
      <c r="B31" s="16" t="s">
        <v>26</v>
      </c>
      <c r="C31" s="16">
        <v>2</v>
      </c>
      <c r="D31" s="16" t="s">
        <v>26</v>
      </c>
    </row>
    <row r="32" spans="1:10">
      <c r="A32" s="4" t="s">
        <v>28</v>
      </c>
      <c r="B32" s="16">
        <v>0.131699545913467</v>
      </c>
      <c r="C32" s="16">
        <v>0.117493793368109</v>
      </c>
      <c r="D32" s="16">
        <v>0.119260848423817</v>
      </c>
    </row>
    <row r="33" spans="1:4">
      <c r="A33" s="4" t="s">
        <v>29</v>
      </c>
      <c r="B33" s="16">
        <v>1.0697312346454599</v>
      </c>
      <c r="C33" s="16">
        <v>0.94993365688355003</v>
      </c>
      <c r="D33" s="16">
        <v>0.95574498687431497</v>
      </c>
    </row>
    <row r="34" spans="1:4">
      <c r="A34" s="4" t="s">
        <v>30</v>
      </c>
      <c r="B34" s="16">
        <v>0.25339326213838498</v>
      </c>
      <c r="C34" s="16">
        <v>0.20792539413359801</v>
      </c>
      <c r="D34" s="16">
        <v>0.21016220906045899</v>
      </c>
    </row>
    <row r="35" spans="1:4">
      <c r="A35" s="4" t="s">
        <v>76</v>
      </c>
      <c r="B35" s="16" t="s">
        <v>26</v>
      </c>
      <c r="C35" s="16">
        <v>2</v>
      </c>
      <c r="D35" s="16" t="s">
        <v>26</v>
      </c>
    </row>
    <row r="36" spans="1:4">
      <c r="A36" s="4" t="s">
        <v>28</v>
      </c>
      <c r="B36" s="16">
        <v>0.20127496873324999</v>
      </c>
      <c r="C36" s="16">
        <v>0.17465876616269499</v>
      </c>
      <c r="D36" s="16">
        <v>0.174461788369392</v>
      </c>
    </row>
    <row r="37" spans="1:4">
      <c r="A37" s="4" t="s">
        <v>29</v>
      </c>
      <c r="B37" s="16">
        <v>0.47260603894943698</v>
      </c>
      <c r="C37" s="16">
        <v>0.45264216000785001</v>
      </c>
      <c r="D37" s="16">
        <v>0.49793849598664802</v>
      </c>
    </row>
    <row r="38" spans="1:4">
      <c r="A38" s="4" t="s">
        <v>30</v>
      </c>
      <c r="B38" s="16">
        <v>0.74440718241915305</v>
      </c>
      <c r="C38" s="16">
        <v>0.74433657656569596</v>
      </c>
      <c r="D38" s="16">
        <v>0.82636156488546297</v>
      </c>
    </row>
    <row r="39" spans="1:4">
      <c r="A39" s="4" t="s">
        <v>77</v>
      </c>
      <c r="B39" s="16" t="s">
        <v>26</v>
      </c>
      <c r="C39" s="16">
        <v>2</v>
      </c>
      <c r="D39" s="16" t="s">
        <v>26</v>
      </c>
    </row>
    <row r="40" spans="1:4">
      <c r="A40" s="4" t="s">
        <v>28</v>
      </c>
      <c r="B40" s="16">
        <v>8.1140432374486302E-2</v>
      </c>
      <c r="C40" s="16">
        <v>5.6398004242117702E-2</v>
      </c>
      <c r="D40" s="16">
        <v>5.6491336670853598E-2</v>
      </c>
    </row>
    <row r="41" spans="1:4">
      <c r="A41" s="4" t="s">
        <v>29</v>
      </c>
      <c r="B41" s="16">
        <v>8.5024477398606399E-2</v>
      </c>
      <c r="C41" s="16">
        <v>5.32847578143281E-2</v>
      </c>
      <c r="D41" s="16">
        <v>5.2667237324821002E-2</v>
      </c>
    </row>
    <row r="42" spans="1:4">
      <c r="A42" s="4" t="s">
        <v>30</v>
      </c>
      <c r="B42" s="16">
        <v>8.2231731284616805E-2</v>
      </c>
      <c r="C42" s="16">
        <v>5.1160936285203198E-2</v>
      </c>
      <c r="D42" s="16">
        <v>5.2870742493799E-2</v>
      </c>
    </row>
    <row r="43" spans="1:4">
      <c r="A43" s="4" t="s">
        <v>78</v>
      </c>
      <c r="B43" s="16" t="s">
        <v>26</v>
      </c>
      <c r="C43" s="16">
        <v>2</v>
      </c>
      <c r="D43" s="16" t="s">
        <v>26</v>
      </c>
    </row>
    <row r="44" spans="1:4">
      <c r="A44" s="4" t="s">
        <v>28</v>
      </c>
      <c r="B44" s="16">
        <v>4.08206181883152E-2</v>
      </c>
      <c r="C44" s="16">
        <v>3.2980925566684999E-2</v>
      </c>
      <c r="D44" s="16">
        <v>3.2953430688644703E-2</v>
      </c>
    </row>
    <row r="45" spans="1:4">
      <c r="A45" s="4" t="s">
        <v>29</v>
      </c>
      <c r="B45" s="16">
        <v>4.7807754154011103E-2</v>
      </c>
      <c r="C45" s="16">
        <v>3.3325503279715597E-2</v>
      </c>
      <c r="D45" s="16">
        <v>3.3322200634134602E-2</v>
      </c>
    </row>
    <row r="46" spans="1:4">
      <c r="A46" s="4" t="s">
        <v>30</v>
      </c>
      <c r="B46" s="16">
        <v>4.9329819546185497E-2</v>
      </c>
      <c r="C46" s="16">
        <v>3.3164317902189801E-2</v>
      </c>
      <c r="D46" s="16">
        <v>3.3404124707981299E-2</v>
      </c>
    </row>
    <row r="47" spans="1:4">
      <c r="A47" s="4" t="s">
        <v>79</v>
      </c>
      <c r="B47" s="16" t="s">
        <v>26</v>
      </c>
      <c r="C47" s="16">
        <v>2</v>
      </c>
      <c r="D47" s="16" t="s">
        <v>26</v>
      </c>
    </row>
    <row r="48" spans="1:4">
      <c r="A48" s="4" t="s">
        <v>28</v>
      </c>
      <c r="B48" s="16">
        <v>0.167189923173128</v>
      </c>
      <c r="C48" s="16">
        <v>0.13647701934616999</v>
      </c>
      <c r="D48" s="16">
        <v>0.13616859428351599</v>
      </c>
    </row>
    <row r="49" spans="1:14">
      <c r="A49" s="4" t="s">
        <v>29</v>
      </c>
      <c r="B49" s="16">
        <v>0.16151384670359101</v>
      </c>
      <c r="C49" s="16">
        <v>0.132967685932322</v>
      </c>
      <c r="D49" s="16">
        <v>0.132354883548818</v>
      </c>
    </row>
    <row r="50" spans="1:14">
      <c r="A50" s="4" t="s">
        <v>30</v>
      </c>
      <c r="B50" s="16">
        <v>0.16824888333035601</v>
      </c>
      <c r="C50" s="16">
        <v>0.131307553535979</v>
      </c>
      <c r="D50" s="16">
        <v>0.131607143930347</v>
      </c>
    </row>
    <row r="51" spans="1:14">
      <c r="A51" s="4" t="s">
        <v>80</v>
      </c>
      <c r="B51" s="16" t="s">
        <v>26</v>
      </c>
      <c r="C51" s="16">
        <v>2</v>
      </c>
      <c r="D51" s="16" t="s">
        <v>26</v>
      </c>
    </row>
    <row r="52" spans="1:14">
      <c r="A52" s="4" t="s">
        <v>28</v>
      </c>
      <c r="B52" s="16">
        <v>5.6121003609853698E-2</v>
      </c>
      <c r="C52" s="16">
        <v>4.48814947976117E-2</v>
      </c>
      <c r="D52" s="16">
        <v>4.1830687903383998E-2</v>
      </c>
    </row>
    <row r="53" spans="1:14">
      <c r="A53" s="4" t="s">
        <v>29</v>
      </c>
      <c r="B53" s="16">
        <v>5.5145734095144998E-2</v>
      </c>
      <c r="C53" s="16">
        <v>4.4877610495361299E-2</v>
      </c>
      <c r="D53" s="16">
        <v>4.18564447562862E-2</v>
      </c>
    </row>
    <row r="54" spans="1:14">
      <c r="A54" s="4" t="s">
        <v>30</v>
      </c>
      <c r="B54" s="16">
        <v>5.6672242718788998E-2</v>
      </c>
      <c r="C54" s="16">
        <v>4.49792002048858E-2</v>
      </c>
      <c r="D54" s="16">
        <v>4.1816000195525498E-2</v>
      </c>
    </row>
    <row r="55" spans="1:14">
      <c r="A55" s="4" t="s">
        <v>81</v>
      </c>
      <c r="B55" s="16" t="s">
        <v>26</v>
      </c>
      <c r="C55" s="16">
        <v>2</v>
      </c>
      <c r="D55" s="16" t="s">
        <v>26</v>
      </c>
    </row>
    <row r="56" spans="1:14">
      <c r="A56" s="4" t="s">
        <v>28</v>
      </c>
      <c r="B56" s="16">
        <v>5.4333640104067903E-2</v>
      </c>
      <c r="C56" s="16">
        <v>4.7513973823703197E-2</v>
      </c>
      <c r="D56" s="16">
        <v>4.8078717076193801E-2</v>
      </c>
    </row>
    <row r="57" spans="1:14">
      <c r="A57" s="4" t="s">
        <v>29</v>
      </c>
      <c r="B57" s="16">
        <v>5.3300771142006799E-2</v>
      </c>
      <c r="C57" s="16">
        <v>4.7398065880617499E-2</v>
      </c>
      <c r="D57" s="16">
        <v>4.8026810426311503E-2</v>
      </c>
    </row>
    <row r="58" spans="1:14">
      <c r="A58" s="4" t="s">
        <v>30</v>
      </c>
      <c r="B58" s="16">
        <v>5.4942907858716902E-2</v>
      </c>
      <c r="C58" s="16">
        <v>4.7361644334714202E-2</v>
      </c>
      <c r="D58" s="16">
        <v>4.8034733173050403E-2</v>
      </c>
    </row>
    <row r="59" spans="1:14">
      <c r="B59" s="16" t="s">
        <v>26</v>
      </c>
      <c r="C59" s="16">
        <v>2</v>
      </c>
      <c r="D59" s="16" t="s">
        <v>26</v>
      </c>
    </row>
    <row r="62" spans="1:14">
      <c r="A62" s="4" t="s">
        <v>82</v>
      </c>
      <c r="F62" s="4" t="s">
        <v>83</v>
      </c>
    </row>
    <row r="63" spans="1:14">
      <c r="A63" s="4" t="s">
        <v>84</v>
      </c>
      <c r="B63" s="4" t="s">
        <v>59</v>
      </c>
      <c r="C63" s="4" t="s">
        <v>60</v>
      </c>
      <c r="D63" s="4" t="s">
        <v>61</v>
      </c>
      <c r="F63" s="4" t="s">
        <v>84</v>
      </c>
      <c r="G63" s="18" t="s">
        <v>59</v>
      </c>
      <c r="H63" s="4" t="s">
        <v>60</v>
      </c>
      <c r="I63" s="4" t="s">
        <v>61</v>
      </c>
      <c r="K63" s="4" t="s">
        <v>85</v>
      </c>
    </row>
    <row r="64" spans="1:14">
      <c r="A64" s="18" t="s">
        <v>86</v>
      </c>
      <c r="B64" s="4">
        <v>1</v>
      </c>
      <c r="C64" s="4">
        <v>0.99999899999999997</v>
      </c>
      <c r="D64" s="4">
        <v>0.99999610000000005</v>
      </c>
      <c r="F64" s="18" t="s">
        <v>86</v>
      </c>
      <c r="G64" s="18">
        <v>0.90399499999999999</v>
      </c>
      <c r="H64" s="4">
        <v>0.98628899999999997</v>
      </c>
      <c r="I64" s="4">
        <v>0.99667380000000005</v>
      </c>
      <c r="K64" s="4" t="s">
        <v>84</v>
      </c>
      <c r="L64" s="4" t="s">
        <v>87</v>
      </c>
      <c r="M64" s="4" t="s">
        <v>88</v>
      </c>
      <c r="N64" s="4" t="s">
        <v>89</v>
      </c>
    </row>
    <row r="65" spans="1:14">
      <c r="A65" s="18" t="s">
        <v>90</v>
      </c>
      <c r="B65" s="4">
        <v>1</v>
      </c>
      <c r="C65" s="4">
        <v>0.99999740000000004</v>
      </c>
      <c r="D65" s="4">
        <v>0.99998719999999996</v>
      </c>
      <c r="F65" s="18" t="s">
        <v>90</v>
      </c>
      <c r="G65" s="18">
        <v>0.98425499999999999</v>
      </c>
      <c r="H65" s="4">
        <v>0.99633340000000004</v>
      </c>
      <c r="I65" s="4">
        <v>0.99868400000000002</v>
      </c>
      <c r="K65" s="4" t="s">
        <v>91</v>
      </c>
      <c r="L65" s="4">
        <v>0.97386340000000005</v>
      </c>
      <c r="M65" s="4">
        <v>1</v>
      </c>
      <c r="N65" s="4">
        <v>0.98675860000000004</v>
      </c>
    </row>
    <row r="66" spans="1:14">
      <c r="A66" s="18" t="s">
        <v>92</v>
      </c>
      <c r="B66" s="4">
        <v>1</v>
      </c>
      <c r="C66" s="4">
        <v>0.99999970000000005</v>
      </c>
      <c r="D66" s="4">
        <v>0.99999930000000004</v>
      </c>
      <c r="F66" s="18" t="s">
        <v>92</v>
      </c>
      <c r="G66" s="18">
        <v>0.98675860000000004</v>
      </c>
      <c r="H66" s="4">
        <v>0.99588560000000004</v>
      </c>
      <c r="I66" s="4">
        <v>0.99881799999999998</v>
      </c>
      <c r="K66" s="4" t="s">
        <v>93</v>
      </c>
      <c r="L66" s="4">
        <v>0.96899800000000003</v>
      </c>
      <c r="M66" s="4">
        <v>1</v>
      </c>
      <c r="N66" s="4">
        <v>0.98425499999999999</v>
      </c>
    </row>
    <row r="67" spans="1:14">
      <c r="A67" s="18" t="s">
        <v>94</v>
      </c>
      <c r="B67" s="4">
        <v>1</v>
      </c>
      <c r="C67" s="4">
        <v>0.99999850000000001</v>
      </c>
      <c r="D67" s="4">
        <v>0.99999229999999995</v>
      </c>
      <c r="F67" s="18" t="s">
        <v>94</v>
      </c>
      <c r="G67" s="18">
        <v>0.96066770000000001</v>
      </c>
      <c r="H67" s="4">
        <v>0.99328570000000005</v>
      </c>
      <c r="I67" s="4">
        <v>0.99798509999999996</v>
      </c>
      <c r="K67" s="4" t="s">
        <v>95</v>
      </c>
      <c r="L67" s="4">
        <v>0.82480920000000002</v>
      </c>
      <c r="M67" s="4">
        <v>1</v>
      </c>
      <c r="N67" s="4">
        <v>0.90399499999999999</v>
      </c>
    </row>
    <row r="68" spans="1:14">
      <c r="K68" s="4" t="s">
        <v>94</v>
      </c>
      <c r="L68" s="4">
        <v>0.92431240000000003</v>
      </c>
      <c r="M68" s="4">
        <v>1</v>
      </c>
      <c r="N68" s="4">
        <v>0.96066770000000001</v>
      </c>
    </row>
    <row r="69" spans="1:14">
      <c r="A69" s="18" t="s">
        <v>96</v>
      </c>
      <c r="B69" s="18" t="s">
        <v>87</v>
      </c>
      <c r="C69" s="18" t="s">
        <v>88</v>
      </c>
      <c r="D69" s="18"/>
      <c r="E69" s="18"/>
      <c r="F69" s="18"/>
      <c r="G69" s="18"/>
    </row>
    <row r="70" spans="1:14">
      <c r="A70" s="18" t="s">
        <v>59</v>
      </c>
      <c r="B70" s="18">
        <v>0.92431240000000003</v>
      </c>
      <c r="C70" s="18">
        <v>1</v>
      </c>
      <c r="K70" s="4" t="s">
        <v>97</v>
      </c>
    </row>
    <row r="71" spans="1:14">
      <c r="A71" s="4" t="s">
        <v>60</v>
      </c>
      <c r="B71" s="4">
        <v>0.9866608</v>
      </c>
      <c r="C71" s="4">
        <v>1</v>
      </c>
      <c r="D71" s="4"/>
      <c r="E71" s="4"/>
      <c r="F71" s="4"/>
      <c r="G71" s="4"/>
      <c r="K71" s="4" t="s">
        <v>84</v>
      </c>
      <c r="L71" s="4" t="s">
        <v>87</v>
      </c>
      <c r="M71" s="4" t="s">
        <v>88</v>
      </c>
      <c r="N71" s="4" t="s">
        <v>89</v>
      </c>
    </row>
    <row r="72" spans="1:14">
      <c r="A72" s="4" t="s">
        <v>61</v>
      </c>
      <c r="B72" s="4">
        <v>0.99597910000000001</v>
      </c>
      <c r="C72" s="4">
        <v>0.99999919999999998</v>
      </c>
      <c r="D72" s="4"/>
      <c r="E72" s="4"/>
      <c r="F72" s="4"/>
      <c r="G72" s="4"/>
      <c r="K72" s="4" t="s">
        <v>91</v>
      </c>
      <c r="L72" s="4">
        <v>1</v>
      </c>
      <c r="M72" s="4">
        <v>1</v>
      </c>
      <c r="N72" s="4">
        <v>1</v>
      </c>
    </row>
    <row r="73" spans="1:14">
      <c r="A73" s="18"/>
      <c r="B73" s="18"/>
      <c r="C73" s="18"/>
      <c r="K73" s="4" t="s">
        <v>93</v>
      </c>
      <c r="L73" s="4">
        <v>1</v>
      </c>
      <c r="M73" s="4">
        <v>1</v>
      </c>
      <c r="N73" s="4">
        <v>1</v>
      </c>
    </row>
    <row r="74" spans="1:14">
      <c r="K74" s="4" t="s">
        <v>95</v>
      </c>
      <c r="L74" s="4">
        <v>1</v>
      </c>
      <c r="M74" s="4">
        <v>1</v>
      </c>
      <c r="N74" s="4">
        <v>1</v>
      </c>
    </row>
    <row r="75" spans="1:14">
      <c r="G75" s="19"/>
      <c r="K75" s="4" t="s">
        <v>94</v>
      </c>
      <c r="L75" s="4">
        <v>1</v>
      </c>
      <c r="M75" s="4">
        <v>1</v>
      </c>
      <c r="N75" s="4">
        <v>1</v>
      </c>
    </row>
    <row r="77" spans="1:14">
      <c r="K77" s="4" t="s">
        <v>98</v>
      </c>
    </row>
    <row r="78" spans="1:14">
      <c r="K78" s="4" t="s">
        <v>84</v>
      </c>
      <c r="L78" s="4" t="s">
        <v>87</v>
      </c>
      <c r="M78" s="4" t="s">
        <v>88</v>
      </c>
      <c r="N78" s="4" t="s">
        <v>89</v>
      </c>
    </row>
    <row r="79" spans="1:14">
      <c r="K79" s="4" t="s">
        <v>93</v>
      </c>
      <c r="L79" s="4">
        <v>0.99269350000000001</v>
      </c>
      <c r="M79" s="4">
        <v>1</v>
      </c>
      <c r="N79" s="4">
        <v>0.99633340000000004</v>
      </c>
    </row>
    <row r="80" spans="1:14">
      <c r="K80" s="4" t="s">
        <v>91</v>
      </c>
      <c r="L80" s="4">
        <v>0.99180489999999999</v>
      </c>
      <c r="M80" s="4">
        <v>1</v>
      </c>
      <c r="N80" s="4">
        <v>0.99588560000000004</v>
      </c>
    </row>
    <row r="81" spans="11:14">
      <c r="K81" s="4" t="s">
        <v>95</v>
      </c>
      <c r="L81" s="4">
        <v>0.97294890000000001</v>
      </c>
      <c r="M81" s="4">
        <v>1</v>
      </c>
      <c r="N81" s="4">
        <v>0.98628899999999997</v>
      </c>
    </row>
    <row r="82" spans="11:14">
      <c r="K82" s="4" t="s">
        <v>94</v>
      </c>
      <c r="L82" s="4">
        <v>0.9866608</v>
      </c>
      <c r="M82" s="4">
        <v>1</v>
      </c>
      <c r="N82" s="4">
        <v>0.99328570000000005</v>
      </c>
    </row>
    <row r="84" spans="11:14">
      <c r="K84" s="4" t="s">
        <v>99</v>
      </c>
    </row>
    <row r="85" spans="11:14">
      <c r="K85" s="4" t="s">
        <v>84</v>
      </c>
      <c r="L85" s="4" t="s">
        <v>87</v>
      </c>
      <c r="M85" s="4" t="s">
        <v>88</v>
      </c>
      <c r="N85" s="4" t="s">
        <v>89</v>
      </c>
    </row>
    <row r="86" spans="11:14">
      <c r="K86" s="4" t="s">
        <v>93</v>
      </c>
      <c r="L86" s="4">
        <v>0.99999550000000004</v>
      </c>
      <c r="M86" s="4">
        <v>0.99999930000000004</v>
      </c>
      <c r="N86" s="4">
        <v>0.99999740000000004</v>
      </c>
    </row>
    <row r="87" spans="11:14">
      <c r="K87" s="4" t="s">
        <v>91</v>
      </c>
      <c r="L87" s="4">
        <v>0.99999950000000004</v>
      </c>
      <c r="M87" s="4">
        <v>1</v>
      </c>
      <c r="N87" s="4">
        <v>0.99999970000000005</v>
      </c>
    </row>
    <row r="88" spans="11:14">
      <c r="K88" s="4" t="s">
        <v>95</v>
      </c>
      <c r="L88" s="4">
        <v>0.99999870000000002</v>
      </c>
      <c r="M88" s="4">
        <v>0.99999950000000004</v>
      </c>
      <c r="N88" s="4">
        <v>0.99999899999999997</v>
      </c>
    </row>
    <row r="89" spans="11:14">
      <c r="K89" s="4" t="s">
        <v>94</v>
      </c>
      <c r="L89" s="4">
        <v>0.99999740000000004</v>
      </c>
      <c r="M89" s="4">
        <v>0.99999959999999999</v>
      </c>
      <c r="N89" s="4">
        <v>0.99999850000000001</v>
      </c>
    </row>
    <row r="91" spans="11:14">
      <c r="K91" s="4" t="s">
        <v>100</v>
      </c>
    </row>
    <row r="92" spans="11:14">
      <c r="K92" s="4" t="s">
        <v>84</v>
      </c>
      <c r="L92" s="4" t="s">
        <v>87</v>
      </c>
      <c r="M92" s="4" t="s">
        <v>88</v>
      </c>
      <c r="N92" s="4" t="s">
        <v>89</v>
      </c>
    </row>
    <row r="93" spans="11:14">
      <c r="K93" s="4" t="s">
        <v>95</v>
      </c>
      <c r="L93" s="4">
        <v>0.99336959999999996</v>
      </c>
      <c r="M93" s="4">
        <v>1</v>
      </c>
      <c r="N93" s="4">
        <v>0.99667380000000005</v>
      </c>
    </row>
    <row r="94" spans="11:14">
      <c r="K94" s="4" t="s">
        <v>93</v>
      </c>
      <c r="L94" s="4">
        <v>0.99737319999999996</v>
      </c>
      <c r="M94" s="4">
        <v>0.99999830000000001</v>
      </c>
      <c r="N94" s="4">
        <v>0.99868400000000002</v>
      </c>
    </row>
    <row r="95" spans="11:14">
      <c r="K95" s="4" t="s">
        <v>91</v>
      </c>
      <c r="L95" s="4">
        <v>0.99763919999999995</v>
      </c>
      <c r="M95" s="4">
        <v>0.99999959999999999</v>
      </c>
      <c r="N95" s="4">
        <v>0.99881799999999998</v>
      </c>
    </row>
    <row r="96" spans="11:14">
      <c r="K96" s="4" t="s">
        <v>94</v>
      </c>
      <c r="L96" s="4">
        <v>0.99597910000000001</v>
      </c>
      <c r="M96" s="4">
        <v>0.99999919999999998</v>
      </c>
      <c r="N96" s="4">
        <v>0.99798509999999996</v>
      </c>
    </row>
    <row r="98" spans="11:14">
      <c r="K98" s="4" t="s">
        <v>101</v>
      </c>
    </row>
    <row r="99" spans="11:14">
      <c r="K99" s="4" t="s">
        <v>84</v>
      </c>
      <c r="L99" s="4" t="s">
        <v>87</v>
      </c>
      <c r="M99" s="4" t="s">
        <v>88</v>
      </c>
      <c r="N99" s="4" t="s">
        <v>89</v>
      </c>
    </row>
    <row r="100" spans="11:14">
      <c r="K100" s="4" t="s">
        <v>95</v>
      </c>
      <c r="L100" s="4">
        <v>0.99999329999999997</v>
      </c>
      <c r="M100" s="4">
        <v>0.99999899999999997</v>
      </c>
      <c r="N100" s="4">
        <v>0.99999610000000005</v>
      </c>
    </row>
    <row r="101" spans="11:14">
      <c r="K101" s="4" t="s">
        <v>93</v>
      </c>
      <c r="L101" s="4">
        <v>0.99998299999999996</v>
      </c>
      <c r="M101" s="4">
        <v>0.99999150000000003</v>
      </c>
      <c r="N101" s="4">
        <v>0.99998719999999996</v>
      </c>
    </row>
    <row r="102" spans="11:14">
      <c r="K102" s="4" t="s">
        <v>91</v>
      </c>
      <c r="L102" s="4">
        <v>0.99999870000000002</v>
      </c>
      <c r="M102" s="4">
        <v>1</v>
      </c>
      <c r="N102" s="4">
        <v>0.99999930000000004</v>
      </c>
    </row>
    <row r="103" spans="11:14">
      <c r="K103" s="4" t="s">
        <v>94</v>
      </c>
      <c r="L103" s="4">
        <v>0.99998900000000002</v>
      </c>
      <c r="M103" s="4">
        <v>0.99999550000000004</v>
      </c>
      <c r="N103" s="4">
        <v>0.99999229999999995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35"/>
  <sheetViews>
    <sheetView topLeftCell="A23" workbookViewId="0"/>
  </sheetViews>
  <sheetFormatPr defaultColWidth="12.5703125" defaultRowHeight="15.75" customHeight="1"/>
  <cols>
    <col min="1" max="1" width="23" customWidth="1"/>
    <col min="2" max="2" width="14.5703125" customWidth="1"/>
    <col min="10" max="10" width="12.5703125" customWidth="1"/>
    <col min="15" max="16" width="12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>
      <c r="A2" s="1" t="s">
        <v>7</v>
      </c>
      <c r="B2" s="1" t="s">
        <v>8</v>
      </c>
      <c r="C2" s="1">
        <v>4347972.9000000004</v>
      </c>
      <c r="D2" s="1">
        <v>4332776</v>
      </c>
      <c r="E2" s="1">
        <v>1.00350742803228</v>
      </c>
      <c r="F2" s="2" t="s">
        <v>9</v>
      </c>
      <c r="G2" s="2" t="s">
        <v>10</v>
      </c>
      <c r="H2" s="2">
        <v>986375.1</v>
      </c>
      <c r="I2" s="2">
        <v>4332776</v>
      </c>
      <c r="J2" s="2">
        <v>0.22765430292265301</v>
      </c>
      <c r="K2" s="3" t="s">
        <v>102</v>
      </c>
      <c r="L2" s="3" t="s">
        <v>103</v>
      </c>
      <c r="M2" s="3">
        <v>589198</v>
      </c>
      <c r="N2" s="3">
        <v>2977515</v>
      </c>
      <c r="O2" s="3">
        <v>0.197882462388938</v>
      </c>
    </row>
    <row r="3" spans="1:15">
      <c r="A3" s="1" t="s">
        <v>7</v>
      </c>
      <c r="B3" s="1" t="s">
        <v>12</v>
      </c>
      <c r="C3" s="1">
        <v>434425.1</v>
      </c>
      <c r="D3" s="1">
        <v>3836730</v>
      </c>
      <c r="E3" s="1">
        <v>0.11322795714058601</v>
      </c>
      <c r="F3" s="2" t="s">
        <v>9</v>
      </c>
      <c r="G3" s="2" t="s">
        <v>13</v>
      </c>
      <c r="H3" s="2">
        <v>782593.3</v>
      </c>
      <c r="I3" s="2">
        <v>19479496</v>
      </c>
      <c r="J3" s="2">
        <v>4.01752334865337E-2</v>
      </c>
      <c r="K3" s="3" t="s">
        <v>102</v>
      </c>
      <c r="L3" s="3" t="s">
        <v>104</v>
      </c>
      <c r="M3" s="3">
        <v>672602.3</v>
      </c>
      <c r="N3" s="3">
        <v>16405149</v>
      </c>
      <c r="O3" s="3">
        <v>4.09994630344412E-2</v>
      </c>
    </row>
    <row r="4" spans="1:15">
      <c r="A4" s="1" t="s">
        <v>7</v>
      </c>
      <c r="B4" s="1" t="s">
        <v>14</v>
      </c>
      <c r="C4" s="1">
        <v>107583.9</v>
      </c>
      <c r="D4" s="1">
        <v>562810</v>
      </c>
      <c r="E4" s="1">
        <v>0.191154919066825</v>
      </c>
      <c r="F4" s="2" t="s">
        <v>9</v>
      </c>
      <c r="G4" s="2" t="s">
        <v>14</v>
      </c>
      <c r="H4" s="2">
        <v>106551.5</v>
      </c>
      <c r="I4" s="2">
        <v>562810</v>
      </c>
      <c r="J4" s="2">
        <v>0.18932055222899399</v>
      </c>
      <c r="K4" s="3" t="s">
        <v>102</v>
      </c>
      <c r="L4" s="3" t="s">
        <v>14</v>
      </c>
      <c r="M4" s="3">
        <v>109051.3</v>
      </c>
      <c r="N4" s="3">
        <v>562810</v>
      </c>
      <c r="O4" s="3">
        <v>0.19376219328014799</v>
      </c>
    </row>
    <row r="5" spans="1:15">
      <c r="A5" s="1" t="s">
        <v>7</v>
      </c>
      <c r="B5" s="1" t="s">
        <v>15</v>
      </c>
      <c r="C5" s="1">
        <v>36014.699999999997</v>
      </c>
      <c r="D5" s="1">
        <v>562810</v>
      </c>
      <c r="E5" s="1">
        <v>6.3990867255379294E-2</v>
      </c>
      <c r="F5" s="2" t="s">
        <v>9</v>
      </c>
      <c r="G5" s="2" t="s">
        <v>15</v>
      </c>
      <c r="H5" s="2">
        <v>34777.4</v>
      </c>
      <c r="I5" s="2">
        <v>562810</v>
      </c>
      <c r="J5" s="2">
        <v>6.1792434391713003E-2</v>
      </c>
      <c r="K5" s="3" t="s">
        <v>102</v>
      </c>
      <c r="L5" s="3" t="s">
        <v>15</v>
      </c>
      <c r="M5" s="3">
        <v>31680.5</v>
      </c>
      <c r="N5" s="3">
        <v>562810</v>
      </c>
      <c r="O5" s="3">
        <v>5.62898669177875E-2</v>
      </c>
    </row>
    <row r="6" spans="1:15">
      <c r="A6" s="1" t="s">
        <v>7</v>
      </c>
      <c r="B6" s="1" t="s">
        <v>16</v>
      </c>
      <c r="C6" s="1">
        <v>21611.8</v>
      </c>
      <c r="D6" s="1">
        <v>562810</v>
      </c>
      <c r="E6" s="1">
        <v>3.8399815212949301E-2</v>
      </c>
      <c r="F6" s="2" t="s">
        <v>9</v>
      </c>
      <c r="G6" s="2" t="s">
        <v>16</v>
      </c>
      <c r="H6" s="2">
        <v>21613.599999999999</v>
      </c>
      <c r="I6" s="2">
        <v>562810</v>
      </c>
      <c r="J6" s="2">
        <v>3.8403013450365099E-2</v>
      </c>
      <c r="K6" s="3" t="s">
        <v>102</v>
      </c>
      <c r="L6" s="3" t="s">
        <v>16</v>
      </c>
      <c r="M6" s="3">
        <v>22037.3</v>
      </c>
      <c r="N6" s="3">
        <v>562810</v>
      </c>
      <c r="O6" s="3">
        <v>3.9155843002078902E-2</v>
      </c>
    </row>
    <row r="7" spans="1:15">
      <c r="A7" s="1" t="s">
        <v>7</v>
      </c>
      <c r="B7" s="1" t="s">
        <v>17</v>
      </c>
      <c r="C7" s="1">
        <v>15653.9</v>
      </c>
      <c r="D7" s="1">
        <v>562810</v>
      </c>
      <c r="E7" s="1">
        <v>2.7813827046427701E-2</v>
      </c>
      <c r="F7" s="2" t="s">
        <v>9</v>
      </c>
      <c r="G7" s="2" t="s">
        <v>17</v>
      </c>
      <c r="H7" s="2">
        <v>15921.2</v>
      </c>
      <c r="I7" s="2">
        <v>562810</v>
      </c>
      <c r="J7" s="2">
        <v>2.8288765302677599E-2</v>
      </c>
      <c r="K7" s="3" t="s">
        <v>102</v>
      </c>
      <c r="L7" s="3" t="s">
        <v>17</v>
      </c>
      <c r="M7" s="3">
        <v>24647.200000000001</v>
      </c>
      <c r="N7" s="3">
        <v>562810</v>
      </c>
      <c r="O7" s="3">
        <v>4.3793109575167501E-2</v>
      </c>
    </row>
    <row r="8" spans="1:15">
      <c r="A8" s="1" t="s">
        <v>19</v>
      </c>
      <c r="B8" s="1" t="s">
        <v>8</v>
      </c>
      <c r="C8" s="1">
        <v>1341359.6000000001</v>
      </c>
      <c r="D8" s="1">
        <v>1837830</v>
      </c>
      <c r="E8" s="1">
        <v>0.72986054205231199</v>
      </c>
      <c r="F8" s="2" t="s">
        <v>20</v>
      </c>
      <c r="G8" s="2" t="s">
        <v>10</v>
      </c>
      <c r="H8" s="2">
        <v>1088447.5</v>
      </c>
      <c r="I8" s="2">
        <v>1837830</v>
      </c>
      <c r="J8" s="2">
        <v>0.59224601840213698</v>
      </c>
      <c r="K8" s="3" t="s">
        <v>105</v>
      </c>
      <c r="L8" s="3" t="s">
        <v>103</v>
      </c>
      <c r="M8" s="3">
        <v>1483441.9</v>
      </c>
      <c r="N8" s="3">
        <v>2193690</v>
      </c>
      <c r="O8" s="3">
        <v>0.67623132712461698</v>
      </c>
    </row>
    <row r="9" spans="1:15">
      <c r="A9" s="1" t="s">
        <v>19</v>
      </c>
      <c r="B9" s="1" t="s">
        <v>12</v>
      </c>
      <c r="C9" s="1">
        <v>2176276.2000000002</v>
      </c>
      <c r="D9" s="1">
        <v>2034414</v>
      </c>
      <c r="E9" s="1">
        <v>1.0697312346454599</v>
      </c>
      <c r="F9" s="2" t="s">
        <v>20</v>
      </c>
      <c r="G9" s="2" t="s">
        <v>13</v>
      </c>
      <c r="H9" s="2">
        <v>490274.6</v>
      </c>
      <c r="I9" s="2">
        <v>2034414</v>
      </c>
      <c r="J9" s="2">
        <v>0.24099057517299799</v>
      </c>
      <c r="K9" s="3" t="s">
        <v>105</v>
      </c>
      <c r="L9" s="3" t="s">
        <v>104</v>
      </c>
      <c r="M9" s="3">
        <v>444758.2</v>
      </c>
      <c r="N9" s="3">
        <v>2083505</v>
      </c>
      <c r="O9" s="3">
        <v>0.213466346373059</v>
      </c>
    </row>
    <row r="10" spans="1:15">
      <c r="A10" s="1" t="s">
        <v>19</v>
      </c>
      <c r="B10" s="1" t="s">
        <v>14</v>
      </c>
      <c r="C10" s="1">
        <v>264517.59999999998</v>
      </c>
      <c r="D10" s="1">
        <v>559700</v>
      </c>
      <c r="E10" s="1">
        <v>0.47260603894943698</v>
      </c>
      <c r="F10" s="2" t="s">
        <v>20</v>
      </c>
      <c r="G10" s="2" t="s">
        <v>14</v>
      </c>
      <c r="H10" s="2">
        <v>404747.4</v>
      </c>
      <c r="I10" s="2">
        <v>559700</v>
      </c>
      <c r="J10" s="2">
        <v>0.72315061640164402</v>
      </c>
      <c r="K10" s="3" t="s">
        <v>105</v>
      </c>
      <c r="L10" s="3" t="s">
        <v>14</v>
      </c>
      <c r="M10" s="3">
        <v>398209.3</v>
      </c>
      <c r="N10" s="3">
        <v>559700</v>
      </c>
      <c r="O10" s="3">
        <v>0.711469179917813</v>
      </c>
    </row>
    <row r="11" spans="1:15">
      <c r="A11" s="1" t="s">
        <v>19</v>
      </c>
      <c r="B11" s="1" t="s">
        <v>15</v>
      </c>
      <c r="C11" s="1">
        <v>47588.2</v>
      </c>
      <c r="D11" s="1">
        <v>559700</v>
      </c>
      <c r="E11" s="1">
        <v>8.5024477398606399E-2</v>
      </c>
      <c r="F11" s="2" t="s">
        <v>20</v>
      </c>
      <c r="G11" s="2" t="s">
        <v>15</v>
      </c>
      <c r="H11" s="2">
        <v>40966.5</v>
      </c>
      <c r="I11" s="2">
        <v>559700</v>
      </c>
      <c r="J11" s="2">
        <v>7.31936751831338E-2</v>
      </c>
      <c r="K11" s="3" t="s">
        <v>105</v>
      </c>
      <c r="L11" s="3" t="s">
        <v>15</v>
      </c>
      <c r="M11" s="3">
        <v>34890.800000000003</v>
      </c>
      <c r="N11" s="3">
        <v>559700</v>
      </c>
      <c r="O11" s="3">
        <v>6.2338395569054801E-2</v>
      </c>
    </row>
    <row r="12" spans="1:15">
      <c r="A12" s="1" t="s">
        <v>19</v>
      </c>
      <c r="B12" s="1" t="s">
        <v>16</v>
      </c>
      <c r="C12" s="1">
        <v>26758</v>
      </c>
      <c r="D12" s="1">
        <v>559700</v>
      </c>
      <c r="E12" s="1">
        <v>4.7807754154011103E-2</v>
      </c>
      <c r="F12" s="2" t="s">
        <v>20</v>
      </c>
      <c r="G12" s="2" t="s">
        <v>16</v>
      </c>
      <c r="H12" s="2">
        <v>26359.9</v>
      </c>
      <c r="I12" s="2">
        <v>559700</v>
      </c>
      <c r="J12" s="2">
        <v>4.70964802572807E-2</v>
      </c>
      <c r="K12" s="3" t="s">
        <v>105</v>
      </c>
      <c r="L12" s="3" t="s">
        <v>16</v>
      </c>
      <c r="M12" s="3">
        <v>26269.9</v>
      </c>
      <c r="N12" s="3">
        <v>559700</v>
      </c>
      <c r="O12" s="3">
        <v>4.6935679828479501E-2</v>
      </c>
    </row>
    <row r="13" spans="1:15">
      <c r="A13" s="1" t="s">
        <v>19</v>
      </c>
      <c r="B13" s="1" t="s">
        <v>17</v>
      </c>
      <c r="C13" s="1">
        <v>90399.3</v>
      </c>
      <c r="D13" s="1">
        <v>559700</v>
      </c>
      <c r="E13" s="1">
        <v>0.16151384670359101</v>
      </c>
      <c r="F13" s="2" t="s">
        <v>20</v>
      </c>
      <c r="G13" s="2" t="s">
        <v>17</v>
      </c>
      <c r="H13" s="2">
        <v>92315.199999999997</v>
      </c>
      <c r="I13" s="2">
        <v>559700</v>
      </c>
      <c r="J13" s="2">
        <v>0.16493693049848099</v>
      </c>
      <c r="K13" s="3" t="s">
        <v>105</v>
      </c>
      <c r="L13" s="3" t="s">
        <v>17</v>
      </c>
      <c r="M13" s="3">
        <v>90298.5</v>
      </c>
      <c r="N13" s="3">
        <v>559700</v>
      </c>
      <c r="O13" s="3">
        <v>0.16133375022333399</v>
      </c>
    </row>
    <row r="14" spans="1:15">
      <c r="A14" s="1" t="s">
        <v>21</v>
      </c>
      <c r="B14" s="1" t="s">
        <v>22</v>
      </c>
      <c r="C14" s="1">
        <v>5269915.5</v>
      </c>
      <c r="D14" s="1">
        <v>95563430</v>
      </c>
      <c r="E14" s="1">
        <v>5.5145734095144998E-2</v>
      </c>
      <c r="F14" s="2" t="s">
        <v>21</v>
      </c>
      <c r="G14" s="2" t="s">
        <v>22</v>
      </c>
      <c r="H14" s="2">
        <v>4190748.5</v>
      </c>
      <c r="I14" s="2">
        <v>76083934</v>
      </c>
      <c r="J14" s="2">
        <v>5.5080596910249101E-2</v>
      </c>
      <c r="K14" s="3" t="s">
        <v>106</v>
      </c>
      <c r="L14" s="3" t="s">
        <v>22</v>
      </c>
      <c r="M14" s="3">
        <v>3479602.6</v>
      </c>
      <c r="N14" s="3">
        <v>74063815</v>
      </c>
      <c r="O14" s="3">
        <v>4.69811418706962E-2</v>
      </c>
    </row>
    <row r="15" spans="1:15">
      <c r="A15" s="1" t="s">
        <v>23</v>
      </c>
      <c r="B15" s="1" t="s">
        <v>24</v>
      </c>
      <c r="C15" s="1">
        <v>455219.5</v>
      </c>
      <c r="D15" s="1">
        <v>8540580</v>
      </c>
      <c r="E15" s="1">
        <v>5.3300771142006799E-2</v>
      </c>
      <c r="F15" s="2" t="s">
        <v>23</v>
      </c>
      <c r="G15" s="2" t="s">
        <v>24</v>
      </c>
      <c r="H15" s="2">
        <v>453561.4</v>
      </c>
      <c r="I15" s="2">
        <v>8540580</v>
      </c>
      <c r="J15" s="2">
        <v>5.3106627418746701E-2</v>
      </c>
      <c r="K15" s="3" t="s">
        <v>107</v>
      </c>
      <c r="L15" s="3" t="s">
        <v>24</v>
      </c>
      <c r="M15" s="3">
        <v>327601.40000000002</v>
      </c>
      <c r="N15" s="3">
        <v>5255712</v>
      </c>
      <c r="O15" s="3">
        <v>6.2332448962195801E-2</v>
      </c>
    </row>
    <row r="16" spans="1:15">
      <c r="A16" s="1" t="s">
        <v>25</v>
      </c>
      <c r="B16" s="1" t="s">
        <v>26</v>
      </c>
      <c r="C16" s="1">
        <v>14635296.199999999</v>
      </c>
      <c r="D16" s="1">
        <v>120635800</v>
      </c>
      <c r="E16" s="1">
        <v>0.121318018366024</v>
      </c>
      <c r="F16" s="2" t="s">
        <v>25</v>
      </c>
      <c r="G16" s="2" t="s">
        <v>26</v>
      </c>
      <c r="H16" s="2">
        <v>8735253.0999999996</v>
      </c>
      <c r="I16" s="2">
        <v>116799070</v>
      </c>
      <c r="J16" s="2">
        <v>7.4788721348551801E-2</v>
      </c>
      <c r="K16" s="3" t="s">
        <v>25</v>
      </c>
      <c r="L16" s="3" t="s">
        <v>26</v>
      </c>
      <c r="M16" s="3">
        <v>7734289.2000000002</v>
      </c>
      <c r="N16" s="3">
        <v>107469426</v>
      </c>
      <c r="O16" s="3">
        <v>7.1967344461298197E-2</v>
      </c>
    </row>
    <row r="17" spans="1:21">
      <c r="A17" s="1" t="s">
        <v>27</v>
      </c>
      <c r="B17" s="1"/>
      <c r="C17" s="1">
        <v>182509568</v>
      </c>
      <c r="D17" s="1"/>
      <c r="E17" s="1"/>
      <c r="F17" s="2" t="s">
        <v>108</v>
      </c>
      <c r="G17" s="2"/>
      <c r="H17" s="2">
        <v>179464717.30000001</v>
      </c>
      <c r="I17" s="2"/>
      <c r="J17" s="2"/>
      <c r="K17" s="3" t="s">
        <v>108</v>
      </c>
      <c r="L17" s="3"/>
      <c r="M17" s="3">
        <v>179737144.5</v>
      </c>
      <c r="N17" s="3"/>
      <c r="O17" s="3"/>
    </row>
    <row r="19" spans="1:21">
      <c r="A19" s="4" t="s">
        <v>0</v>
      </c>
      <c r="B19" s="1" t="s">
        <v>29</v>
      </c>
      <c r="C19" s="2" t="s">
        <v>64</v>
      </c>
      <c r="D19" s="3" t="s">
        <v>109</v>
      </c>
      <c r="F19" s="4" t="s">
        <v>1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4" t="s">
        <v>44</v>
      </c>
      <c r="U19" s="4" t="s">
        <v>48</v>
      </c>
    </row>
    <row r="20" spans="1:21">
      <c r="A20" s="4" t="s">
        <v>31</v>
      </c>
      <c r="B20" s="5">
        <f t="array" ref="B20:B34">$E$2:$E$16</f>
        <v>1.00350742803228</v>
      </c>
      <c r="C20" s="6">
        <f t="array" ref="C20:C34">$J$2:$J$16</f>
        <v>0.22765430292265301</v>
      </c>
      <c r="D20" s="7">
        <f t="array" ref="D20:D34">$O$2:$O$16</f>
        <v>0.197882462388938</v>
      </c>
      <c r="F20" s="1" t="s">
        <v>29</v>
      </c>
      <c r="G20" s="8">
        <f t="array" ref="G20:T20">TRANSPOSE($C$2:$C$15/1000000)</f>
        <v>4.3479729000000003</v>
      </c>
      <c r="H20" s="8">
        <v>0.43442509999999995</v>
      </c>
      <c r="I20" s="8">
        <v>0.1075839</v>
      </c>
      <c r="J20" s="8">
        <v>3.6014699999999997E-2</v>
      </c>
      <c r="K20" s="8">
        <v>2.16118E-2</v>
      </c>
      <c r="L20" s="8">
        <v>1.5653899999999998E-2</v>
      </c>
      <c r="M20" s="8">
        <v>1.3413596000000001</v>
      </c>
      <c r="N20" s="8">
        <v>2.1762762000000002</v>
      </c>
      <c r="O20" s="8">
        <v>0.26451759999999996</v>
      </c>
      <c r="P20" s="8">
        <v>4.7588199999999997E-2</v>
      </c>
      <c r="Q20" s="8">
        <v>2.6758000000000001E-2</v>
      </c>
      <c r="R20" s="8">
        <v>9.0399300000000002E-2</v>
      </c>
      <c r="S20" s="8">
        <v>5.2699154999999998</v>
      </c>
      <c r="T20" s="8">
        <v>0.4552195</v>
      </c>
      <c r="U20" s="15">
        <f>$O$25/1000000</f>
        <v>0.61012739999999988</v>
      </c>
    </row>
    <row r="21" spans="1:21">
      <c r="A21" s="4" t="s">
        <v>32</v>
      </c>
      <c r="B21" s="5">
        <v>0.11322795714058601</v>
      </c>
      <c r="C21" s="6">
        <v>4.01752334865337E-2</v>
      </c>
      <c r="D21" s="7">
        <v>4.09994630344412E-2</v>
      </c>
      <c r="F21" s="2" t="s">
        <v>64</v>
      </c>
      <c r="G21" s="9">
        <f t="array" ref="G21:T21">TRANSPOSE($H$2:$H$15/1000000)</f>
        <v>0.98637509999999995</v>
      </c>
      <c r="H21" s="9">
        <v>0.78259330000000005</v>
      </c>
      <c r="I21" s="9">
        <v>0.10655149999999999</v>
      </c>
      <c r="J21" s="9">
        <v>3.47774E-2</v>
      </c>
      <c r="K21" s="9">
        <v>2.16136E-2</v>
      </c>
      <c r="L21" s="9">
        <v>1.59212E-2</v>
      </c>
      <c r="M21" s="9">
        <v>1.0884475</v>
      </c>
      <c r="N21" s="9">
        <v>0.49027459999999995</v>
      </c>
      <c r="O21" s="9">
        <v>0.40474740000000003</v>
      </c>
      <c r="P21" s="9">
        <v>4.0966500000000003E-2</v>
      </c>
      <c r="Q21" s="9">
        <v>2.6359900000000002E-2</v>
      </c>
      <c r="R21" s="9">
        <v>9.23152E-2</v>
      </c>
      <c r="S21" s="9">
        <v>4.1907484999999998</v>
      </c>
      <c r="T21" s="9">
        <v>0.4535614</v>
      </c>
      <c r="U21" s="15">
        <f>$P$25/1000000</f>
        <v>0.7432527000000001</v>
      </c>
    </row>
    <row r="22" spans="1:21">
      <c r="A22" s="4" t="s">
        <v>33</v>
      </c>
      <c r="B22" s="5">
        <v>0.191154919066825</v>
      </c>
      <c r="C22" s="6">
        <v>0.18932055222899399</v>
      </c>
      <c r="D22" s="7">
        <v>0.19376219328014799</v>
      </c>
      <c r="F22" s="3" t="s">
        <v>109</v>
      </c>
      <c r="G22" s="10">
        <f t="array" ref="G22:T22">TRANSPOSE($M$2:$M$15/1000000)</f>
        <v>0.589198</v>
      </c>
      <c r="H22" s="10">
        <v>0.6726023000000001</v>
      </c>
      <c r="I22" s="10">
        <v>0.1090513</v>
      </c>
      <c r="J22" s="10">
        <v>3.16805E-2</v>
      </c>
      <c r="K22" s="10">
        <v>2.2037299999999999E-2</v>
      </c>
      <c r="L22" s="10">
        <v>2.4647200000000001E-2</v>
      </c>
      <c r="M22" s="10">
        <v>1.4834418999999999</v>
      </c>
      <c r="N22" s="10">
        <v>0.44475819999999999</v>
      </c>
      <c r="O22" s="10">
        <v>0.39820929999999999</v>
      </c>
      <c r="P22" s="10">
        <v>3.48908E-2</v>
      </c>
      <c r="Q22" s="10">
        <v>2.6269900000000002E-2</v>
      </c>
      <c r="R22" s="10">
        <v>9.0298500000000004E-2</v>
      </c>
      <c r="S22" s="10">
        <v>3.4796026000000002</v>
      </c>
      <c r="T22" s="10">
        <v>0.32760140000000004</v>
      </c>
      <c r="U22" s="15">
        <f>$Q$25/1000000</f>
        <v>0.7370848000000001</v>
      </c>
    </row>
    <row r="23" spans="1:21">
      <c r="A23" s="4" t="s">
        <v>34</v>
      </c>
      <c r="B23" s="5">
        <v>6.3990867255379294E-2</v>
      </c>
      <c r="C23" s="6">
        <v>6.1792434391713003E-2</v>
      </c>
      <c r="D23" s="7">
        <v>5.62898669177875E-2</v>
      </c>
    </row>
    <row r="24" spans="1:21">
      <c r="A24" s="4" t="s">
        <v>35</v>
      </c>
      <c r="B24" s="5">
        <v>3.8399815212949301E-2</v>
      </c>
      <c r="C24" s="6">
        <v>3.8403013450365099E-2</v>
      </c>
      <c r="D24" s="7">
        <v>3.9155843002078902E-2</v>
      </c>
      <c r="O24" s="4" t="s">
        <v>29</v>
      </c>
      <c r="P24" s="4" t="s">
        <v>64</v>
      </c>
      <c r="Q24" s="4" t="s">
        <v>109</v>
      </c>
      <c r="R24" s="4" t="s">
        <v>47</v>
      </c>
      <c r="S24" s="4" t="s">
        <v>29</v>
      </c>
      <c r="T24" s="4" t="s">
        <v>64</v>
      </c>
      <c r="U24" s="4" t="s">
        <v>109</v>
      </c>
    </row>
    <row r="25" spans="1:21">
      <c r="A25" s="4" t="s">
        <v>36</v>
      </c>
      <c r="B25" s="5">
        <v>2.7813827046427701E-2</v>
      </c>
      <c r="C25" s="6">
        <v>2.8288765302677599E-2</v>
      </c>
      <c r="D25" s="7">
        <v>4.3793109575167501E-2</v>
      </c>
      <c r="O25" s="4">
        <f>SUM($C$4:$C$7,$C$10:$C$13)</f>
        <v>610127.39999999991</v>
      </c>
      <c r="P25" s="4">
        <f>SUM($H$4:$H$7,$H$10:$H$13)</f>
        <v>743252.70000000007</v>
      </c>
      <c r="Q25" s="4">
        <f>SUM($M$4:$M$7,$M$10:$M$13)</f>
        <v>737084.8</v>
      </c>
      <c r="R25" s="4" t="s">
        <v>48</v>
      </c>
      <c r="S25" s="11">
        <v>1</v>
      </c>
      <c r="T25" s="11">
        <f>$P$25/$O$25</f>
        <v>1.2181926266546956</v>
      </c>
      <c r="U25" s="11">
        <f>$Q$25/$O$25</f>
        <v>1.2080834265105946</v>
      </c>
    </row>
    <row r="26" spans="1:21">
      <c r="A26" s="4" t="s">
        <v>37</v>
      </c>
      <c r="B26" s="5">
        <v>0.72986054205231199</v>
      </c>
      <c r="C26" s="6">
        <v>0.59224601840213698</v>
      </c>
      <c r="D26" s="7">
        <v>0.67623132712461698</v>
      </c>
      <c r="O26" s="4">
        <f>SUM($C$2,$C$3,$C$8,$C$9)</f>
        <v>8300033.7999999998</v>
      </c>
      <c r="P26" s="4">
        <f>SUM($H$2,$H$3,$H$8,$H$9)</f>
        <v>3347690.5</v>
      </c>
      <c r="Q26" s="4">
        <f>SUM($M$2,$M$3,$M$8,$M$9)</f>
        <v>3190000.4000000004</v>
      </c>
      <c r="R26" s="4" t="s">
        <v>49</v>
      </c>
      <c r="S26" s="11">
        <v>1</v>
      </c>
      <c r="T26" s="11">
        <f>$P$26/$O$26</f>
        <v>0.40333456232431247</v>
      </c>
      <c r="U26" s="11">
        <f>$Q$26/$O$26</f>
        <v>0.38433583246371844</v>
      </c>
    </row>
    <row r="27" spans="1:21">
      <c r="A27" s="4" t="s">
        <v>38</v>
      </c>
      <c r="B27" s="5">
        <v>1.0697312346454599</v>
      </c>
      <c r="C27" s="6">
        <v>0.24099057517299799</v>
      </c>
      <c r="D27" s="7">
        <v>0.213466346373059</v>
      </c>
      <c r="O27" s="4">
        <f>SUM($C$14,$C$15)</f>
        <v>5725135</v>
      </c>
      <c r="P27" s="4">
        <f>SUM($H$14,$H$15)</f>
        <v>4644309.9000000004</v>
      </c>
      <c r="Q27" s="4">
        <f>SUM($M$14,$M$15)</f>
        <v>3807204</v>
      </c>
      <c r="R27" s="4" t="s">
        <v>50</v>
      </c>
      <c r="S27" s="11">
        <v>1</v>
      </c>
      <c r="T27" s="11">
        <f>$P$27/$O$27</f>
        <v>0.81121404124094898</v>
      </c>
      <c r="U27" s="11">
        <f>$Q$27/$O$27</f>
        <v>0.66499811794831043</v>
      </c>
    </row>
    <row r="28" spans="1:21">
      <c r="A28" s="4" t="s">
        <v>39</v>
      </c>
      <c r="B28" s="5">
        <v>0.47260603894943698</v>
      </c>
      <c r="C28" s="6">
        <v>0.72315061640164402</v>
      </c>
      <c r="D28" s="7">
        <v>0.711469179917813</v>
      </c>
      <c r="O28" s="4">
        <f>$C$16</f>
        <v>14635296.199999999</v>
      </c>
      <c r="P28" s="4">
        <f>$H$16</f>
        <v>8735253.0999999996</v>
      </c>
      <c r="Q28" s="4">
        <f>$M$16</f>
        <v>7734289.2000000002</v>
      </c>
      <c r="R28" s="4" t="s">
        <v>51</v>
      </c>
      <c r="S28" s="11">
        <v>1</v>
      </c>
      <c r="T28" s="11">
        <f>$P$28/$O$28</f>
        <v>0.59686206419245547</v>
      </c>
      <c r="U28" s="11">
        <f>$Q$28/$O$28</f>
        <v>0.52846823831279888</v>
      </c>
    </row>
    <row r="29" spans="1:21">
      <c r="A29" s="4" t="s">
        <v>40</v>
      </c>
      <c r="B29" s="5">
        <v>8.5024477398606399E-2</v>
      </c>
      <c r="C29" s="6">
        <v>7.31936751831338E-2</v>
      </c>
      <c r="D29" s="7">
        <v>6.2338395569054801E-2</v>
      </c>
      <c r="O29" s="4">
        <f>$C$17</f>
        <v>182509568</v>
      </c>
      <c r="P29" s="4">
        <f>$H$17</f>
        <v>179464717.30000001</v>
      </c>
      <c r="Q29" s="4">
        <f>$M$17</f>
        <v>179737144.5</v>
      </c>
      <c r="R29" s="4" t="s">
        <v>52</v>
      </c>
      <c r="S29" s="11">
        <v>1</v>
      </c>
      <c r="T29" s="11">
        <f>$P$29/$O$29</f>
        <v>0.98331676123412892</v>
      </c>
      <c r="U29" s="11">
        <f>$Q$29/$O$29</f>
        <v>0.9848094347579629</v>
      </c>
    </row>
    <row r="30" spans="1:21">
      <c r="A30" s="4" t="s">
        <v>41</v>
      </c>
      <c r="B30" s="5">
        <v>4.7807754154011103E-2</v>
      </c>
      <c r="C30" s="6">
        <v>4.70964802572807E-2</v>
      </c>
      <c r="D30" s="7">
        <v>4.6935679828479501E-2</v>
      </c>
    </row>
    <row r="31" spans="1:21">
      <c r="A31" s="4" t="s">
        <v>42</v>
      </c>
      <c r="B31" s="5">
        <v>0.16151384670359101</v>
      </c>
      <c r="C31" s="6">
        <v>0.16493693049848099</v>
      </c>
      <c r="D31" s="7">
        <v>0.16133375022333399</v>
      </c>
    </row>
    <row r="32" spans="1:21">
      <c r="A32" s="4" t="s">
        <v>43</v>
      </c>
      <c r="B32" s="5">
        <v>5.5145734095144998E-2</v>
      </c>
      <c r="C32" s="6">
        <v>5.5080596910249101E-2</v>
      </c>
      <c r="D32" s="7">
        <v>4.69811418706962E-2</v>
      </c>
    </row>
    <row r="33" spans="1:4">
      <c r="A33" s="4" t="s">
        <v>44</v>
      </c>
      <c r="B33" s="5">
        <v>5.3300771142006799E-2</v>
      </c>
      <c r="C33" s="6">
        <v>5.3106627418746701E-2</v>
      </c>
      <c r="D33" s="7">
        <v>6.2332448962195801E-2</v>
      </c>
    </row>
    <row r="34" spans="1:4">
      <c r="A34" s="4" t="s">
        <v>25</v>
      </c>
      <c r="B34" s="5">
        <v>0.121318018366024</v>
      </c>
      <c r="C34" s="6">
        <v>7.4788721348551801E-2</v>
      </c>
      <c r="D34" s="7">
        <v>7.1967344461298197E-2</v>
      </c>
    </row>
    <row r="35" spans="1:4">
      <c r="B35" s="12"/>
      <c r="C35" s="13"/>
      <c r="D35" s="1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35"/>
  <sheetViews>
    <sheetView topLeftCell="A18" workbookViewId="0"/>
  </sheetViews>
  <sheetFormatPr defaultColWidth="12.5703125" defaultRowHeight="15.75" customHeight="1"/>
  <cols>
    <col min="1" max="1" width="23" customWidth="1"/>
    <col min="2" max="2" width="14.5703125" customWidth="1"/>
    <col min="10" max="10" width="12.5703125" customWidth="1"/>
    <col min="15" max="16" width="12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>
      <c r="A2" s="1" t="s">
        <v>7</v>
      </c>
      <c r="B2" s="1" t="s">
        <v>8</v>
      </c>
      <c r="C2" s="1">
        <v>75472284.299999997</v>
      </c>
      <c r="D2" s="1">
        <v>78183158</v>
      </c>
      <c r="E2" s="1">
        <v>0.96532662827459603</v>
      </c>
      <c r="F2" s="2" t="s">
        <v>9</v>
      </c>
      <c r="G2" s="2" t="s">
        <v>10</v>
      </c>
      <c r="H2" s="2">
        <v>16437352.199999999</v>
      </c>
      <c r="I2" s="2">
        <v>78183158</v>
      </c>
      <c r="J2" s="2">
        <v>0.210241599603843</v>
      </c>
      <c r="K2" s="3" t="s">
        <v>102</v>
      </c>
      <c r="L2" s="3" t="s">
        <v>103</v>
      </c>
      <c r="M2" s="3">
        <v>10811217.199999999</v>
      </c>
      <c r="N2" s="3">
        <v>59438621</v>
      </c>
      <c r="O2" s="3">
        <v>0.18188876219049599</v>
      </c>
    </row>
    <row r="3" spans="1:15">
      <c r="A3" s="1" t="s">
        <v>7</v>
      </c>
      <c r="B3" s="1" t="s">
        <v>12</v>
      </c>
      <c r="C3" s="1">
        <v>8741366.6999999993</v>
      </c>
      <c r="D3" s="1">
        <v>84091350</v>
      </c>
      <c r="E3" s="1">
        <v>0.10395084274423</v>
      </c>
      <c r="F3" s="2" t="s">
        <v>9</v>
      </c>
      <c r="G3" s="2" t="s">
        <v>13</v>
      </c>
      <c r="H3" s="2">
        <v>56810089.299999997</v>
      </c>
      <c r="I3" s="2">
        <v>1542568265</v>
      </c>
      <c r="J3" s="2">
        <v>3.6828249737135603E-2</v>
      </c>
      <c r="K3" s="3" t="s">
        <v>102</v>
      </c>
      <c r="L3" s="3" t="s">
        <v>104</v>
      </c>
      <c r="M3" s="3">
        <v>48719108.5</v>
      </c>
      <c r="N3" s="3">
        <v>1326851508</v>
      </c>
      <c r="O3" s="3">
        <v>3.67178302969529E-2</v>
      </c>
    </row>
    <row r="4" spans="1:15">
      <c r="A4" s="1" t="s">
        <v>7</v>
      </c>
      <c r="B4" s="1" t="s">
        <v>14</v>
      </c>
      <c r="C4" s="1">
        <v>1027040.1</v>
      </c>
      <c r="D4" s="1">
        <v>5814230</v>
      </c>
      <c r="E4" s="1">
        <v>0.17664249608288601</v>
      </c>
      <c r="F4" s="2" t="s">
        <v>9</v>
      </c>
      <c r="G4" s="2" t="s">
        <v>14</v>
      </c>
      <c r="H4" s="2">
        <v>1010469.4</v>
      </c>
      <c r="I4" s="2">
        <v>5814230</v>
      </c>
      <c r="J4" s="2">
        <v>0.173792471230068</v>
      </c>
      <c r="K4" s="3" t="s">
        <v>102</v>
      </c>
      <c r="L4" s="3" t="s">
        <v>14</v>
      </c>
      <c r="M4" s="3">
        <v>1011797.6</v>
      </c>
      <c r="N4" s="3">
        <v>5814230</v>
      </c>
      <c r="O4" s="3">
        <v>0.17402091076548401</v>
      </c>
    </row>
    <row r="5" spans="1:15">
      <c r="A5" s="1" t="s">
        <v>7</v>
      </c>
      <c r="B5" s="1" t="s">
        <v>15</v>
      </c>
      <c r="C5" s="1">
        <v>310509.8</v>
      </c>
      <c r="D5" s="1">
        <v>5814230</v>
      </c>
      <c r="E5" s="1">
        <v>5.3405145651272801E-2</v>
      </c>
      <c r="F5" s="2" t="s">
        <v>9</v>
      </c>
      <c r="G5" s="2" t="s">
        <v>15</v>
      </c>
      <c r="H5" s="2">
        <v>298571.3</v>
      </c>
      <c r="I5" s="2">
        <v>5814230</v>
      </c>
      <c r="J5" s="2">
        <v>5.1351821307378601E-2</v>
      </c>
      <c r="K5" s="3" t="s">
        <v>102</v>
      </c>
      <c r="L5" s="3" t="s">
        <v>15</v>
      </c>
      <c r="M5" s="3">
        <v>274024.09999999998</v>
      </c>
      <c r="N5" s="3">
        <v>5814230</v>
      </c>
      <c r="O5" s="3">
        <v>4.7129903701779899E-2</v>
      </c>
    </row>
    <row r="6" spans="1:15">
      <c r="A6" s="1" t="s">
        <v>7</v>
      </c>
      <c r="B6" s="1" t="s">
        <v>16</v>
      </c>
      <c r="C6" s="1">
        <v>192473.3</v>
      </c>
      <c r="D6" s="1">
        <v>5814230</v>
      </c>
      <c r="E6" s="1">
        <v>3.3103833181693902E-2</v>
      </c>
      <c r="F6" s="2" t="s">
        <v>9</v>
      </c>
      <c r="G6" s="2" t="s">
        <v>16</v>
      </c>
      <c r="H6" s="2">
        <v>194197.4</v>
      </c>
      <c r="I6" s="2">
        <v>5814230</v>
      </c>
      <c r="J6" s="2">
        <v>3.3400364278674897E-2</v>
      </c>
      <c r="K6" s="3" t="s">
        <v>102</v>
      </c>
      <c r="L6" s="3" t="s">
        <v>16</v>
      </c>
      <c r="M6" s="3">
        <v>191443.7</v>
      </c>
      <c r="N6" s="3">
        <v>5814230</v>
      </c>
      <c r="O6" s="3">
        <v>3.2926750403750801E-2</v>
      </c>
    </row>
    <row r="7" spans="1:15">
      <c r="A7" s="1" t="s">
        <v>7</v>
      </c>
      <c r="B7" s="1" t="s">
        <v>17</v>
      </c>
      <c r="C7" s="1">
        <v>141587.1</v>
      </c>
      <c r="D7" s="1">
        <v>5814230</v>
      </c>
      <c r="E7" s="1">
        <v>2.4351823027296798E-2</v>
      </c>
      <c r="F7" s="2" t="s">
        <v>9</v>
      </c>
      <c r="G7" s="2" t="s">
        <v>17</v>
      </c>
      <c r="H7" s="2">
        <v>144469.9</v>
      </c>
      <c r="I7" s="2">
        <v>5814230</v>
      </c>
      <c r="J7" s="2">
        <v>2.4847641046191801E-2</v>
      </c>
      <c r="K7" s="3" t="s">
        <v>102</v>
      </c>
      <c r="L7" s="3" t="s">
        <v>17</v>
      </c>
      <c r="M7" s="3">
        <v>208119.2</v>
      </c>
      <c r="N7" s="3">
        <v>5814230</v>
      </c>
      <c r="O7" s="3">
        <v>3.5794799999312003E-2</v>
      </c>
    </row>
    <row r="8" spans="1:15">
      <c r="A8" s="1" t="s">
        <v>19</v>
      </c>
      <c r="B8" s="1" t="s">
        <v>8</v>
      </c>
      <c r="C8" s="1">
        <v>36280479.899999999</v>
      </c>
      <c r="D8" s="1">
        <v>54315320</v>
      </c>
      <c r="E8" s="1">
        <v>0.66796034525802295</v>
      </c>
      <c r="F8" s="2" t="s">
        <v>20</v>
      </c>
      <c r="G8" s="2" t="s">
        <v>10</v>
      </c>
      <c r="H8" s="2">
        <v>29460127</v>
      </c>
      <c r="I8" s="2">
        <v>54315320</v>
      </c>
      <c r="J8" s="2">
        <v>0.54239074721459801</v>
      </c>
      <c r="K8" s="3" t="s">
        <v>105</v>
      </c>
      <c r="L8" s="3" t="s">
        <v>103</v>
      </c>
      <c r="M8" s="3">
        <v>41430596.299999997</v>
      </c>
      <c r="N8" s="3">
        <v>66976100</v>
      </c>
      <c r="O8" s="3">
        <v>0.61858776936847604</v>
      </c>
    </row>
    <row r="9" spans="1:15">
      <c r="A9" s="1" t="s">
        <v>19</v>
      </c>
      <c r="B9" s="1" t="s">
        <v>12</v>
      </c>
      <c r="C9" s="1">
        <v>58117440.600000001</v>
      </c>
      <c r="D9" s="1">
        <v>61182982</v>
      </c>
      <c r="E9" s="1">
        <v>0.94989552160108803</v>
      </c>
      <c r="F9" s="2" t="s">
        <v>20</v>
      </c>
      <c r="G9" s="2" t="s">
        <v>13</v>
      </c>
      <c r="H9" s="2">
        <v>12653381.300000001</v>
      </c>
      <c r="I9" s="2">
        <v>61182982</v>
      </c>
      <c r="J9" s="2">
        <v>0.206812105039274</v>
      </c>
      <c r="K9" s="3" t="s">
        <v>105</v>
      </c>
      <c r="L9" s="3" t="s">
        <v>104</v>
      </c>
      <c r="M9" s="3">
        <v>11455113.800000001</v>
      </c>
      <c r="N9" s="3">
        <v>59535609</v>
      </c>
      <c r="O9" s="3">
        <v>0.192407770616741</v>
      </c>
    </row>
    <row r="10" spans="1:15">
      <c r="A10" s="1" t="s">
        <v>19</v>
      </c>
      <c r="B10" s="1" t="s">
        <v>14</v>
      </c>
      <c r="C10" s="1">
        <v>3066870.9</v>
      </c>
      <c r="D10" s="1">
        <v>6624050</v>
      </c>
      <c r="E10" s="1">
        <v>0.46299030049591999</v>
      </c>
      <c r="F10" s="2" t="s">
        <v>20</v>
      </c>
      <c r="G10" s="2" t="s">
        <v>14</v>
      </c>
      <c r="H10" s="2">
        <v>5097307.9000000004</v>
      </c>
      <c r="I10" s="2">
        <v>6624050</v>
      </c>
      <c r="J10" s="2">
        <v>0.76951531162959197</v>
      </c>
      <c r="K10" s="3" t="s">
        <v>105</v>
      </c>
      <c r="L10" s="3" t="s">
        <v>14</v>
      </c>
      <c r="M10" s="3">
        <v>5015838.5999999996</v>
      </c>
      <c r="N10" s="3">
        <v>6624050</v>
      </c>
      <c r="O10" s="3">
        <v>0.75721629516685396</v>
      </c>
    </row>
    <row r="11" spans="1:15">
      <c r="A11" s="1" t="s">
        <v>19</v>
      </c>
      <c r="B11" s="1" t="s">
        <v>15</v>
      </c>
      <c r="C11" s="1">
        <v>347367.3</v>
      </c>
      <c r="D11" s="1">
        <v>6624050</v>
      </c>
      <c r="E11" s="1">
        <v>5.24403197439633E-2</v>
      </c>
      <c r="F11" s="2" t="s">
        <v>20</v>
      </c>
      <c r="G11" s="2" t="s">
        <v>15</v>
      </c>
      <c r="H11" s="2">
        <v>344899.5</v>
      </c>
      <c r="I11" s="2">
        <v>6624050</v>
      </c>
      <c r="J11" s="2">
        <v>5.2067768208271401E-2</v>
      </c>
      <c r="K11" s="3" t="s">
        <v>105</v>
      </c>
      <c r="L11" s="3" t="s">
        <v>15</v>
      </c>
      <c r="M11" s="3">
        <v>312926.59999999998</v>
      </c>
      <c r="N11" s="3">
        <v>6624050</v>
      </c>
      <c r="O11" s="3">
        <v>4.7240977951555303E-2</v>
      </c>
    </row>
    <row r="12" spans="1:15">
      <c r="A12" s="1" t="s">
        <v>19</v>
      </c>
      <c r="B12" s="1" t="s">
        <v>16</v>
      </c>
      <c r="C12" s="1">
        <v>220410.5</v>
      </c>
      <c r="D12" s="1">
        <v>6624050</v>
      </c>
      <c r="E12" s="1">
        <v>3.3274280840271397E-2</v>
      </c>
      <c r="F12" s="2" t="s">
        <v>20</v>
      </c>
      <c r="G12" s="2" t="s">
        <v>16</v>
      </c>
      <c r="H12" s="2">
        <v>221136</v>
      </c>
      <c r="I12" s="2">
        <v>6624050</v>
      </c>
      <c r="J12" s="2">
        <v>3.3383805979725401E-2</v>
      </c>
      <c r="K12" s="3" t="s">
        <v>105</v>
      </c>
      <c r="L12" s="3" t="s">
        <v>16</v>
      </c>
      <c r="M12" s="3">
        <v>223576.5</v>
      </c>
      <c r="N12" s="3">
        <v>6624050</v>
      </c>
      <c r="O12" s="3">
        <v>3.37522361697149E-2</v>
      </c>
    </row>
    <row r="13" spans="1:15">
      <c r="A13" s="1" t="s">
        <v>19</v>
      </c>
      <c r="B13" s="1" t="s">
        <v>17</v>
      </c>
      <c r="C13" s="1">
        <v>874131.7</v>
      </c>
      <c r="D13" s="1">
        <v>6624050</v>
      </c>
      <c r="E13" s="1">
        <v>0.13196333059080201</v>
      </c>
      <c r="F13" s="2" t="s">
        <v>20</v>
      </c>
      <c r="G13" s="2" t="s">
        <v>17</v>
      </c>
      <c r="H13" s="2">
        <v>882858.2</v>
      </c>
      <c r="I13" s="2">
        <v>6624050</v>
      </c>
      <c r="J13" s="2">
        <v>0.13328072704765201</v>
      </c>
      <c r="K13" s="3" t="s">
        <v>105</v>
      </c>
      <c r="L13" s="3" t="s">
        <v>17</v>
      </c>
      <c r="M13" s="3">
        <v>760118.3</v>
      </c>
      <c r="N13" s="3">
        <v>6624050</v>
      </c>
      <c r="O13" s="3">
        <v>0.11475129263819001</v>
      </c>
    </row>
    <row r="14" spans="1:15">
      <c r="A14" s="1" t="s">
        <v>21</v>
      </c>
      <c r="B14" s="1" t="s">
        <v>22</v>
      </c>
      <c r="C14" s="1">
        <v>289840202.10000002</v>
      </c>
      <c r="D14" s="1">
        <v>6405753752</v>
      </c>
      <c r="E14" s="1">
        <v>4.5246853582141901E-2</v>
      </c>
      <c r="F14" s="2" t="s">
        <v>21</v>
      </c>
      <c r="G14" s="2" t="s">
        <v>22</v>
      </c>
      <c r="H14" s="2">
        <v>219571993.09999999</v>
      </c>
      <c r="I14" s="2">
        <v>4863185487</v>
      </c>
      <c r="J14" s="2">
        <v>4.5149828993146103E-2</v>
      </c>
      <c r="K14" s="3" t="s">
        <v>106</v>
      </c>
      <c r="L14" s="3" t="s">
        <v>22</v>
      </c>
      <c r="M14" s="3">
        <v>192584913.69999999</v>
      </c>
      <c r="N14" s="3">
        <v>4538678984</v>
      </c>
      <c r="O14" s="3">
        <v>4.2431931048419802E-2</v>
      </c>
    </row>
    <row r="15" spans="1:15">
      <c r="A15" s="1" t="s">
        <v>23</v>
      </c>
      <c r="B15" s="1" t="s">
        <v>24</v>
      </c>
      <c r="C15" s="1">
        <v>6410221.2999999998</v>
      </c>
      <c r="D15" s="1">
        <v>135039637</v>
      </c>
      <c r="E15" s="1">
        <v>4.7469183436860102E-2</v>
      </c>
      <c r="F15" s="2" t="s">
        <v>23</v>
      </c>
      <c r="G15" s="2" t="s">
        <v>24</v>
      </c>
      <c r="H15" s="2">
        <v>6426866.5</v>
      </c>
      <c r="I15" s="2">
        <v>135039637</v>
      </c>
      <c r="J15" s="2">
        <v>4.7592445024122798E-2</v>
      </c>
      <c r="K15" s="3" t="s">
        <v>107</v>
      </c>
      <c r="L15" s="3" t="s">
        <v>24</v>
      </c>
      <c r="M15" s="3">
        <v>4764157.4000000004</v>
      </c>
      <c r="N15" s="3">
        <v>97863310</v>
      </c>
      <c r="O15" s="3">
        <v>4.8681752129577503E-2</v>
      </c>
    </row>
    <row r="16" spans="1:15">
      <c r="A16" s="1" t="s">
        <v>25</v>
      </c>
      <c r="B16" s="1" t="s">
        <v>26</v>
      </c>
      <c r="C16" s="1">
        <v>481042385.60000002</v>
      </c>
      <c r="D16" s="1">
        <v>6868319319</v>
      </c>
      <c r="E16" s="1">
        <v>7.0037859810809996E-2</v>
      </c>
      <c r="F16" s="2" t="s">
        <v>25</v>
      </c>
      <c r="G16" s="2" t="s">
        <v>26</v>
      </c>
      <c r="H16" s="2">
        <v>349553719</v>
      </c>
      <c r="I16" s="2">
        <v>6784227969</v>
      </c>
      <c r="J16" s="2">
        <v>5.1524465362493499E-2</v>
      </c>
      <c r="K16" s="3" t="s">
        <v>25</v>
      </c>
      <c r="L16" s="3" t="s">
        <v>26</v>
      </c>
      <c r="M16" s="3">
        <v>317762951.5</v>
      </c>
      <c r="N16" s="3">
        <v>6199097252</v>
      </c>
      <c r="O16" s="3">
        <v>5.1259552573962398E-2</v>
      </c>
    </row>
    <row r="17" spans="1:21">
      <c r="A17" s="1" t="s">
        <v>108</v>
      </c>
      <c r="B17" s="1"/>
      <c r="C17" s="1">
        <v>2122286238.5999999</v>
      </c>
      <c r="D17" s="1"/>
      <c r="E17" s="1"/>
      <c r="F17" s="2" t="s">
        <v>108</v>
      </c>
      <c r="G17" s="2"/>
      <c r="H17" s="2">
        <v>1962703346.5999999</v>
      </c>
      <c r="I17" s="2"/>
      <c r="J17" s="2"/>
      <c r="K17" s="3" t="s">
        <v>108</v>
      </c>
      <c r="L17" s="3"/>
      <c r="M17" s="3">
        <v>1786155762.7</v>
      </c>
      <c r="N17" s="3"/>
      <c r="O17" s="3"/>
    </row>
    <row r="19" spans="1:21">
      <c r="A19" s="4" t="s">
        <v>0</v>
      </c>
      <c r="B19" s="1" t="s">
        <v>29</v>
      </c>
      <c r="C19" s="2" t="s">
        <v>64</v>
      </c>
      <c r="D19" s="3" t="s">
        <v>109</v>
      </c>
      <c r="F19" s="4" t="s">
        <v>1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4" t="s">
        <v>44</v>
      </c>
      <c r="U19" s="4" t="s">
        <v>48</v>
      </c>
    </row>
    <row r="20" spans="1:21">
      <c r="A20" s="4" t="s">
        <v>31</v>
      </c>
      <c r="B20" s="5">
        <f t="array" ref="B20:B34">$E$2:$E$16</f>
        <v>0.96532662827459603</v>
      </c>
      <c r="C20" s="6">
        <f t="array" ref="C20:C34">$J$2:$J$16</f>
        <v>0.210241599603843</v>
      </c>
      <c r="D20" s="7">
        <f t="array" ref="D20:D34">$O$2:$O$16</f>
        <v>0.18188876219049599</v>
      </c>
      <c r="F20" s="1" t="s">
        <v>29</v>
      </c>
      <c r="G20" s="8">
        <f t="array" ref="G20:T20">TRANSPOSE($C$2:$C$15/1000000)</f>
        <v>75.472284299999998</v>
      </c>
      <c r="H20" s="8">
        <v>8.7413666999999986</v>
      </c>
      <c r="I20" s="8">
        <v>1.0270401</v>
      </c>
      <c r="J20" s="8">
        <v>0.3105098</v>
      </c>
      <c r="K20" s="8">
        <v>0.19247329999999999</v>
      </c>
      <c r="L20" s="8">
        <v>0.14158709999999999</v>
      </c>
      <c r="M20" s="8">
        <v>36.280479899999996</v>
      </c>
      <c r="N20" s="8">
        <v>58.117440600000002</v>
      </c>
      <c r="O20" s="8">
        <v>3.0668709000000001</v>
      </c>
      <c r="P20" s="8">
        <v>0.34736729999999999</v>
      </c>
      <c r="Q20" s="8">
        <v>0.22041050000000001</v>
      </c>
      <c r="R20" s="8">
        <v>0.87413169999999996</v>
      </c>
      <c r="S20" s="8">
        <v>289.8402021</v>
      </c>
      <c r="T20" s="8">
        <v>6.4102212999999999</v>
      </c>
      <c r="U20" s="15">
        <f>$O$25/1000000</f>
        <v>6.1803907000000002</v>
      </c>
    </row>
    <row r="21" spans="1:21">
      <c r="A21" s="4" t="s">
        <v>32</v>
      </c>
      <c r="B21" s="5">
        <v>0.10395084274423</v>
      </c>
      <c r="C21" s="6">
        <v>3.6828249737135603E-2</v>
      </c>
      <c r="D21" s="7">
        <v>3.67178302969529E-2</v>
      </c>
      <c r="F21" s="2" t="s">
        <v>64</v>
      </c>
      <c r="G21" s="9">
        <f t="array" ref="G21:T21">TRANSPOSE($H$2:$H$15/1000000)</f>
        <v>16.437352199999999</v>
      </c>
      <c r="H21" s="9">
        <v>56.810089299999994</v>
      </c>
      <c r="I21" s="9">
        <v>1.0104694000000001</v>
      </c>
      <c r="J21" s="9">
        <v>0.29857129999999998</v>
      </c>
      <c r="K21" s="9">
        <v>0.19419739999999999</v>
      </c>
      <c r="L21" s="9">
        <v>0.14446989999999998</v>
      </c>
      <c r="M21" s="9">
        <v>29.460127</v>
      </c>
      <c r="N21" s="9">
        <v>12.653381300000001</v>
      </c>
      <c r="O21" s="9">
        <v>5.0973079000000006</v>
      </c>
      <c r="P21" s="9">
        <v>0.34489950000000003</v>
      </c>
      <c r="Q21" s="9">
        <v>0.221136</v>
      </c>
      <c r="R21" s="9">
        <v>0.88285819999999993</v>
      </c>
      <c r="S21" s="9">
        <v>219.57199309999999</v>
      </c>
      <c r="T21" s="9">
        <v>6.4268665</v>
      </c>
      <c r="U21" s="15">
        <f>$P$25/1000000</f>
        <v>8.1939096000000013</v>
      </c>
    </row>
    <row r="22" spans="1:21">
      <c r="A22" s="4" t="s">
        <v>33</v>
      </c>
      <c r="B22" s="5">
        <v>0.17664249608288601</v>
      </c>
      <c r="C22" s="6">
        <v>0.173792471230068</v>
      </c>
      <c r="D22" s="7">
        <v>0.17402091076548401</v>
      </c>
      <c r="F22" s="3" t="s">
        <v>109</v>
      </c>
      <c r="G22" s="10">
        <f t="array" ref="G22:T22">TRANSPOSE($M$2:$M$15/1000000)</f>
        <v>10.8112172</v>
      </c>
      <c r="H22" s="10">
        <v>48.719108499999997</v>
      </c>
      <c r="I22" s="10">
        <v>1.0117976</v>
      </c>
      <c r="J22" s="10">
        <v>0.27402409999999999</v>
      </c>
      <c r="K22" s="10">
        <v>0.19144370000000002</v>
      </c>
      <c r="L22" s="10">
        <v>0.2081192</v>
      </c>
      <c r="M22" s="10">
        <v>41.430596299999998</v>
      </c>
      <c r="N22" s="10">
        <v>11.455113800000001</v>
      </c>
      <c r="O22" s="10">
        <v>5.0158385999999995</v>
      </c>
      <c r="P22" s="10">
        <v>0.3129266</v>
      </c>
      <c r="Q22" s="10">
        <v>0.22357650000000001</v>
      </c>
      <c r="R22" s="10">
        <v>0.76011830000000002</v>
      </c>
      <c r="S22" s="10">
        <v>192.58491369999999</v>
      </c>
      <c r="T22" s="10">
        <v>4.7641574000000002</v>
      </c>
      <c r="U22" s="15">
        <f>$Q$25/1000000</f>
        <v>7.9978445999999987</v>
      </c>
    </row>
    <row r="23" spans="1:21">
      <c r="A23" s="4" t="s">
        <v>34</v>
      </c>
      <c r="B23" s="5">
        <v>5.3405145651272801E-2</v>
      </c>
      <c r="C23" s="6">
        <v>5.1351821307378601E-2</v>
      </c>
      <c r="D23" s="7">
        <v>4.7129903701779899E-2</v>
      </c>
    </row>
    <row r="24" spans="1:21">
      <c r="A24" s="4" t="s">
        <v>35</v>
      </c>
      <c r="B24" s="5">
        <v>3.3103833181693902E-2</v>
      </c>
      <c r="C24" s="6">
        <v>3.3400364278674897E-2</v>
      </c>
      <c r="D24" s="7">
        <v>3.2926750403750801E-2</v>
      </c>
      <c r="O24" s="4" t="s">
        <v>29</v>
      </c>
      <c r="P24" s="4" t="s">
        <v>64</v>
      </c>
      <c r="Q24" s="4" t="s">
        <v>109</v>
      </c>
      <c r="R24" s="4" t="s">
        <v>47</v>
      </c>
      <c r="S24" s="4" t="s">
        <v>29</v>
      </c>
      <c r="T24" s="4" t="s">
        <v>64</v>
      </c>
      <c r="U24" s="4" t="s">
        <v>109</v>
      </c>
    </row>
    <row r="25" spans="1:21">
      <c r="A25" s="4" t="s">
        <v>36</v>
      </c>
      <c r="B25" s="5">
        <v>2.4351823027296798E-2</v>
      </c>
      <c r="C25" s="6">
        <v>2.4847641046191801E-2</v>
      </c>
      <c r="D25" s="7">
        <v>3.5794799999312003E-2</v>
      </c>
      <c r="O25" s="4">
        <f>SUM($C$4:$C$7,$C$10:$C$13)</f>
        <v>6180390.7000000002</v>
      </c>
      <c r="P25" s="4">
        <f>SUM($H$4:$H$7,$H$10:$H$13)</f>
        <v>8193909.6000000006</v>
      </c>
      <c r="Q25" s="4">
        <f>SUM($M$4:$M$7,$M$10:$M$13)</f>
        <v>7997844.5999999987</v>
      </c>
      <c r="R25" s="4" t="s">
        <v>48</v>
      </c>
      <c r="S25" s="11">
        <v>1</v>
      </c>
      <c r="T25" s="11">
        <f>$P$25/$O$25</f>
        <v>1.3257915231799182</v>
      </c>
      <c r="U25" s="11">
        <f>$Q$25/$O$25</f>
        <v>1.2940678006003727</v>
      </c>
    </row>
    <row r="26" spans="1:21">
      <c r="A26" s="4" t="s">
        <v>37</v>
      </c>
      <c r="B26" s="5">
        <v>0.66796034525802295</v>
      </c>
      <c r="C26" s="6">
        <v>0.54239074721459801</v>
      </c>
      <c r="D26" s="7">
        <v>0.61858776936847604</v>
      </c>
      <c r="O26" s="4">
        <f>SUM($C$2,$C$3,$C$8,$C$9)</f>
        <v>178611571.5</v>
      </c>
      <c r="P26" s="4">
        <f>SUM($H$2,$H$3,$H$8,$H$9)</f>
        <v>115360949.8</v>
      </c>
      <c r="Q26" s="4">
        <f>SUM($M$2,$M$3,$M$8,$M$9)</f>
        <v>112416035.8</v>
      </c>
      <c r="R26" s="4" t="s">
        <v>49</v>
      </c>
      <c r="S26" s="11">
        <v>1</v>
      </c>
      <c r="T26" s="11">
        <f>$P$26/$O$26</f>
        <v>0.6458761256685992</v>
      </c>
      <c r="U26" s="11">
        <f>$Q$26/$O$26</f>
        <v>0.62938831373531701</v>
      </c>
    </row>
    <row r="27" spans="1:21">
      <c r="A27" s="4" t="s">
        <v>38</v>
      </c>
      <c r="B27" s="5">
        <v>0.94989552160108803</v>
      </c>
      <c r="C27" s="6">
        <v>0.206812105039274</v>
      </c>
      <c r="D27" s="7">
        <v>0.192407770616741</v>
      </c>
      <c r="O27" s="4">
        <f>SUM($C$14,$C$15)</f>
        <v>296250423.40000004</v>
      </c>
      <c r="P27" s="4">
        <f>SUM($H$14,$H$15)</f>
        <v>225998859.59999999</v>
      </c>
      <c r="Q27" s="4">
        <f>SUM($M$14,$M$15)</f>
        <v>197349071.09999999</v>
      </c>
      <c r="R27" s="4" t="s">
        <v>50</v>
      </c>
      <c r="S27" s="11">
        <v>1</v>
      </c>
      <c r="T27" s="11">
        <f>$P$27/$O$27</f>
        <v>0.76286425857644857</v>
      </c>
      <c r="U27" s="11">
        <f>$Q$27/$O$27</f>
        <v>0.66615624995592826</v>
      </c>
    </row>
    <row r="28" spans="1:21">
      <c r="A28" s="4" t="s">
        <v>39</v>
      </c>
      <c r="B28" s="5">
        <v>0.46299030049591999</v>
      </c>
      <c r="C28" s="6">
        <v>0.76951531162959197</v>
      </c>
      <c r="D28" s="7">
        <v>0.75721629516685396</v>
      </c>
      <c r="O28" s="4">
        <f>$C$16</f>
        <v>481042385.60000002</v>
      </c>
      <c r="P28" s="4">
        <f>$H$16</f>
        <v>349553719</v>
      </c>
      <c r="Q28" s="4">
        <f>$M$16</f>
        <v>317762951.5</v>
      </c>
      <c r="R28" s="4" t="s">
        <v>51</v>
      </c>
      <c r="S28" s="11">
        <v>1</v>
      </c>
      <c r="T28" s="11">
        <f>$P$28/$O$28</f>
        <v>0.72665887552508424</v>
      </c>
      <c r="U28" s="11">
        <f>$Q$28/$O$28</f>
        <v>0.66057162739133057</v>
      </c>
    </row>
    <row r="29" spans="1:21">
      <c r="A29" s="4" t="s">
        <v>40</v>
      </c>
      <c r="B29" s="5">
        <v>5.24403197439633E-2</v>
      </c>
      <c r="C29" s="6">
        <v>5.2067768208271401E-2</v>
      </c>
      <c r="D29" s="7">
        <v>4.7240977951555303E-2</v>
      </c>
      <c r="O29" s="4">
        <f>$C$17</f>
        <v>2122286238.5999999</v>
      </c>
      <c r="P29" s="4">
        <f>$H$17</f>
        <v>1962703346.5999999</v>
      </c>
      <c r="Q29" s="4">
        <f>$M$17</f>
        <v>1786155762.7</v>
      </c>
      <c r="R29" s="4" t="s">
        <v>52</v>
      </c>
      <c r="S29" s="11">
        <v>1</v>
      </c>
      <c r="T29" s="11">
        <f>$P$29/$O$29</f>
        <v>0.92480614108619419</v>
      </c>
      <c r="U29" s="11">
        <f>$Q$29/$O$29</f>
        <v>0.84161868941781681</v>
      </c>
    </row>
    <row r="30" spans="1:21">
      <c r="A30" s="4" t="s">
        <v>41</v>
      </c>
      <c r="B30" s="5">
        <v>3.3274280840271397E-2</v>
      </c>
      <c r="C30" s="6">
        <v>3.3383805979725401E-2</v>
      </c>
      <c r="D30" s="7">
        <v>3.37522361697149E-2</v>
      </c>
    </row>
    <row r="31" spans="1:21">
      <c r="A31" s="4" t="s">
        <v>42</v>
      </c>
      <c r="B31" s="5">
        <v>0.13196333059080201</v>
      </c>
      <c r="C31" s="6">
        <v>0.13328072704765201</v>
      </c>
      <c r="D31" s="7">
        <v>0.11475129263819001</v>
      </c>
    </row>
    <row r="32" spans="1:21">
      <c r="A32" s="4" t="s">
        <v>43</v>
      </c>
      <c r="B32" s="5">
        <v>4.5246853582141901E-2</v>
      </c>
      <c r="C32" s="6">
        <v>4.5149828993146103E-2</v>
      </c>
      <c r="D32" s="7">
        <v>4.2431931048419802E-2</v>
      </c>
    </row>
    <row r="33" spans="1:4">
      <c r="A33" s="4" t="s">
        <v>44</v>
      </c>
      <c r="B33" s="5">
        <v>4.7469183436860102E-2</v>
      </c>
      <c r="C33" s="6">
        <v>4.7592445024122798E-2</v>
      </c>
      <c r="D33" s="7">
        <v>4.8681752129577503E-2</v>
      </c>
    </row>
    <row r="34" spans="1:4">
      <c r="A34" s="4" t="s">
        <v>25</v>
      </c>
      <c r="B34" s="5">
        <v>7.0037859810809996E-2</v>
      </c>
      <c r="C34" s="6">
        <v>5.1524465362493499E-2</v>
      </c>
      <c r="D34" s="7">
        <v>5.1259552573962398E-2</v>
      </c>
    </row>
    <row r="35" spans="1:4">
      <c r="B35" s="5"/>
      <c r="C35" s="13"/>
      <c r="D35" s="1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35"/>
  <sheetViews>
    <sheetView topLeftCell="A23" workbookViewId="0"/>
  </sheetViews>
  <sheetFormatPr defaultColWidth="12.5703125" defaultRowHeight="15.75" customHeight="1"/>
  <cols>
    <col min="1" max="1" width="23" customWidth="1"/>
    <col min="2" max="2" width="14.5703125" customWidth="1"/>
    <col min="10" max="10" width="12.5703125" customWidth="1"/>
    <col min="15" max="16" width="12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>
      <c r="A2" s="1" t="s">
        <v>7</v>
      </c>
      <c r="B2" s="1" t="s">
        <v>8</v>
      </c>
      <c r="C2" s="1">
        <v>83877804.099999994</v>
      </c>
      <c r="D2" s="1">
        <v>86388893</v>
      </c>
      <c r="E2" s="1">
        <v>0.97093273437361904</v>
      </c>
      <c r="F2" s="2" t="s">
        <v>9</v>
      </c>
      <c r="G2" s="2" t="s">
        <v>10</v>
      </c>
      <c r="H2" s="2">
        <v>18289793.300000001</v>
      </c>
      <c r="I2" s="2">
        <v>86388893</v>
      </c>
      <c r="J2" s="2">
        <v>0.21171463905666699</v>
      </c>
      <c r="K2" s="3" t="s">
        <v>102</v>
      </c>
      <c r="L2" s="3" t="s">
        <v>103</v>
      </c>
      <c r="M2" s="3">
        <v>11749947.5</v>
      </c>
      <c r="N2" s="3">
        <v>62381810</v>
      </c>
      <c r="O2" s="3">
        <v>0.18835534749632901</v>
      </c>
    </row>
    <row r="3" spans="1:15">
      <c r="A3" s="1" t="s">
        <v>7</v>
      </c>
      <c r="B3" s="1" t="s">
        <v>12</v>
      </c>
      <c r="C3" s="1">
        <v>11348453.9</v>
      </c>
      <c r="D3" s="1">
        <v>109741450</v>
      </c>
      <c r="E3" s="1">
        <v>0.103410825171346</v>
      </c>
      <c r="F3" s="2" t="s">
        <v>9</v>
      </c>
      <c r="G3" s="2" t="s">
        <v>13</v>
      </c>
      <c r="H3" s="2">
        <v>171886464.80000001</v>
      </c>
      <c r="I3" s="2">
        <v>4675658158</v>
      </c>
      <c r="J3" s="2">
        <v>3.6761982803619697E-2</v>
      </c>
      <c r="K3" s="3" t="s">
        <v>102</v>
      </c>
      <c r="L3" s="3" t="s">
        <v>104</v>
      </c>
      <c r="M3" s="3">
        <v>142652268.5</v>
      </c>
      <c r="N3" s="3">
        <v>3891693750</v>
      </c>
      <c r="O3" s="3">
        <v>3.6655574067204003E-2</v>
      </c>
    </row>
    <row r="4" spans="1:15">
      <c r="A4" s="1" t="s">
        <v>7</v>
      </c>
      <c r="B4" s="1" t="s">
        <v>14</v>
      </c>
      <c r="C4" s="1">
        <v>2151399.2999999998</v>
      </c>
      <c r="D4" s="1">
        <v>12222800</v>
      </c>
      <c r="E4" s="1">
        <v>0.17601525836960399</v>
      </c>
      <c r="F4" s="2" t="s">
        <v>9</v>
      </c>
      <c r="G4" s="2" t="s">
        <v>14</v>
      </c>
      <c r="H4" s="2">
        <v>2113057</v>
      </c>
      <c r="I4" s="2">
        <v>12222800</v>
      </c>
      <c r="J4" s="2">
        <v>0.172878309389011</v>
      </c>
      <c r="K4" s="3" t="s">
        <v>102</v>
      </c>
      <c r="L4" s="3" t="s">
        <v>14</v>
      </c>
      <c r="M4" s="3">
        <v>2137638.7000000002</v>
      </c>
      <c r="N4" s="3">
        <v>12222800</v>
      </c>
      <c r="O4" s="3">
        <v>0.17488944431717801</v>
      </c>
    </row>
    <row r="5" spans="1:15">
      <c r="A5" s="1" t="s">
        <v>7</v>
      </c>
      <c r="B5" s="1" t="s">
        <v>15</v>
      </c>
      <c r="C5" s="1">
        <v>628535.80000000005</v>
      </c>
      <c r="D5" s="1">
        <v>12222800</v>
      </c>
      <c r="E5" s="1">
        <v>5.1423225447524298E-2</v>
      </c>
      <c r="F5" s="2" t="s">
        <v>9</v>
      </c>
      <c r="G5" s="2" t="s">
        <v>15</v>
      </c>
      <c r="H5" s="2">
        <v>625144.80000000005</v>
      </c>
      <c r="I5" s="2">
        <v>12222800</v>
      </c>
      <c r="J5" s="2">
        <v>5.1145793107962197E-2</v>
      </c>
      <c r="K5" s="3" t="s">
        <v>102</v>
      </c>
      <c r="L5" s="3" t="s">
        <v>15</v>
      </c>
      <c r="M5" s="3">
        <v>575686.5</v>
      </c>
      <c r="N5" s="3">
        <v>12222800</v>
      </c>
      <c r="O5" s="3">
        <v>4.7099396210361001E-2</v>
      </c>
    </row>
    <row r="6" spans="1:15">
      <c r="A6" s="1" t="s">
        <v>7</v>
      </c>
      <c r="B6" s="1" t="s">
        <v>16</v>
      </c>
      <c r="C6" s="1">
        <v>397121.6</v>
      </c>
      <c r="D6" s="1">
        <v>12222800</v>
      </c>
      <c r="E6" s="1">
        <v>3.2490231370880703E-2</v>
      </c>
      <c r="F6" s="2" t="s">
        <v>9</v>
      </c>
      <c r="G6" s="2" t="s">
        <v>16</v>
      </c>
      <c r="H6" s="2">
        <v>399498.1</v>
      </c>
      <c r="I6" s="2">
        <v>12222800</v>
      </c>
      <c r="J6" s="2">
        <v>3.2684663088653997E-2</v>
      </c>
      <c r="K6" s="3" t="s">
        <v>102</v>
      </c>
      <c r="L6" s="3" t="s">
        <v>16</v>
      </c>
      <c r="M6" s="3">
        <v>394379.9</v>
      </c>
      <c r="N6" s="3">
        <v>12222800</v>
      </c>
      <c r="O6" s="3">
        <v>3.2265921065549603E-2</v>
      </c>
    </row>
    <row r="7" spans="1:15">
      <c r="A7" s="1" t="s">
        <v>7</v>
      </c>
      <c r="B7" s="1" t="s">
        <v>17</v>
      </c>
      <c r="C7" s="1">
        <v>294599.90000000002</v>
      </c>
      <c r="D7" s="1">
        <v>12222800</v>
      </c>
      <c r="E7" s="1">
        <v>2.4102488791438899E-2</v>
      </c>
      <c r="F7" s="2" t="s">
        <v>9</v>
      </c>
      <c r="G7" s="2" t="s">
        <v>17</v>
      </c>
      <c r="H7" s="2">
        <v>299842.8</v>
      </c>
      <c r="I7" s="2">
        <v>12222800</v>
      </c>
      <c r="J7" s="2">
        <v>2.45314330595281E-2</v>
      </c>
      <c r="K7" s="3" t="s">
        <v>102</v>
      </c>
      <c r="L7" s="3" t="s">
        <v>17</v>
      </c>
      <c r="M7" s="3">
        <v>427294.6</v>
      </c>
      <c r="N7" s="3">
        <v>12222800</v>
      </c>
      <c r="O7" s="3">
        <v>3.4958814674215397E-2</v>
      </c>
    </row>
    <row r="8" spans="1:15">
      <c r="A8" s="1" t="s">
        <v>19</v>
      </c>
      <c r="B8" s="1" t="s">
        <v>8</v>
      </c>
      <c r="C8" s="1">
        <v>29692521.300000001</v>
      </c>
      <c r="D8" s="1">
        <v>43854870</v>
      </c>
      <c r="E8" s="1">
        <v>0.67706326116118898</v>
      </c>
      <c r="F8" s="2" t="s">
        <v>20</v>
      </c>
      <c r="G8" s="2" t="s">
        <v>10</v>
      </c>
      <c r="H8" s="2">
        <v>24040370.100000001</v>
      </c>
      <c r="I8" s="2">
        <v>43854870</v>
      </c>
      <c r="J8" s="2">
        <v>0.54818017018406395</v>
      </c>
      <c r="K8" s="3" t="s">
        <v>105</v>
      </c>
      <c r="L8" s="3" t="s">
        <v>103</v>
      </c>
      <c r="M8" s="3">
        <v>36325279.200000003</v>
      </c>
      <c r="N8" s="3">
        <v>56211700</v>
      </c>
      <c r="O8" s="3">
        <v>0.64622274722166395</v>
      </c>
    </row>
    <row r="9" spans="1:15">
      <c r="A9" s="1" t="s">
        <v>19</v>
      </c>
      <c r="B9" s="1" t="s">
        <v>12</v>
      </c>
      <c r="C9" s="1">
        <v>55787864.299999997</v>
      </c>
      <c r="D9" s="1">
        <v>58907427</v>
      </c>
      <c r="E9" s="1">
        <v>0.94704296454842596</v>
      </c>
      <c r="F9" s="2" t="s">
        <v>20</v>
      </c>
      <c r="G9" s="2" t="s">
        <v>13</v>
      </c>
      <c r="H9" s="2">
        <v>12275387.699999999</v>
      </c>
      <c r="I9" s="2">
        <v>58907427</v>
      </c>
      <c r="J9" s="2">
        <v>0.20838438080142299</v>
      </c>
      <c r="K9" s="3" t="s">
        <v>105</v>
      </c>
      <c r="L9" s="3" t="s">
        <v>104</v>
      </c>
      <c r="M9" s="3">
        <v>12052664.800000001</v>
      </c>
      <c r="N9" s="3">
        <v>62068610</v>
      </c>
      <c r="O9" s="3">
        <v>0.19418293401447201</v>
      </c>
    </row>
    <row r="10" spans="1:15">
      <c r="A10" s="1" t="s">
        <v>19</v>
      </c>
      <c r="B10" s="1" t="s">
        <v>14</v>
      </c>
      <c r="C10" s="1">
        <v>5851939.2999999998</v>
      </c>
      <c r="D10" s="1">
        <v>11647370</v>
      </c>
      <c r="E10" s="1">
        <v>0.50242580943165704</v>
      </c>
      <c r="F10" s="2" t="s">
        <v>20</v>
      </c>
      <c r="G10" s="2" t="s">
        <v>14</v>
      </c>
      <c r="H10" s="2">
        <v>9565154</v>
      </c>
      <c r="I10" s="2">
        <v>11647370</v>
      </c>
      <c r="J10" s="2">
        <v>0.82122865505260001</v>
      </c>
      <c r="K10" s="3" t="s">
        <v>105</v>
      </c>
      <c r="L10" s="3" t="s">
        <v>14</v>
      </c>
      <c r="M10" s="3">
        <v>9356731.1999999993</v>
      </c>
      <c r="N10" s="3">
        <v>11647370</v>
      </c>
      <c r="O10" s="3">
        <v>0.80333424627190497</v>
      </c>
    </row>
    <row r="11" spans="1:15">
      <c r="A11" s="1" t="s">
        <v>19</v>
      </c>
      <c r="B11" s="1" t="s">
        <v>15</v>
      </c>
      <c r="C11" s="1">
        <v>603654.1</v>
      </c>
      <c r="D11" s="1">
        <v>11647370</v>
      </c>
      <c r="E11" s="1">
        <v>5.1827502689448399E-2</v>
      </c>
      <c r="F11" s="2" t="s">
        <v>20</v>
      </c>
      <c r="G11" s="2" t="s">
        <v>15</v>
      </c>
      <c r="H11" s="2">
        <v>604566.69999999995</v>
      </c>
      <c r="I11" s="2">
        <v>11647370</v>
      </c>
      <c r="J11" s="2">
        <v>5.1905855141546997E-2</v>
      </c>
      <c r="K11" s="3" t="s">
        <v>105</v>
      </c>
      <c r="L11" s="3" t="s">
        <v>15</v>
      </c>
      <c r="M11" s="3">
        <v>553279.4</v>
      </c>
      <c r="N11" s="3">
        <v>11647370</v>
      </c>
      <c r="O11" s="3">
        <v>4.75025177357635E-2</v>
      </c>
    </row>
    <row r="12" spans="1:15">
      <c r="A12" s="1" t="s">
        <v>19</v>
      </c>
      <c r="B12" s="1" t="s">
        <v>16</v>
      </c>
      <c r="C12" s="1">
        <v>387015.6</v>
      </c>
      <c r="D12" s="1">
        <v>11647370</v>
      </c>
      <c r="E12" s="1">
        <v>3.3227724370394299E-2</v>
      </c>
      <c r="F12" s="2" t="s">
        <v>20</v>
      </c>
      <c r="G12" s="2" t="s">
        <v>16</v>
      </c>
      <c r="H12" s="2">
        <v>385250.1</v>
      </c>
      <c r="I12" s="2">
        <v>11647370</v>
      </c>
      <c r="J12" s="2">
        <v>3.3076145086830801E-2</v>
      </c>
      <c r="K12" s="3" t="s">
        <v>105</v>
      </c>
      <c r="L12" s="3" t="s">
        <v>16</v>
      </c>
      <c r="M12" s="3">
        <v>391519.4</v>
      </c>
      <c r="N12" s="3">
        <v>11647370</v>
      </c>
      <c r="O12" s="3">
        <v>3.3614403938399803E-2</v>
      </c>
    </row>
    <row r="13" spans="1:15">
      <c r="A13" s="1" t="s">
        <v>19</v>
      </c>
      <c r="B13" s="1" t="s">
        <v>17</v>
      </c>
      <c r="C13" s="1">
        <v>1531679.6</v>
      </c>
      <c r="D13" s="1">
        <v>11647370</v>
      </c>
      <c r="E13" s="1">
        <v>0.13150433102065101</v>
      </c>
      <c r="F13" s="2" t="s">
        <v>20</v>
      </c>
      <c r="G13" s="2" t="s">
        <v>17</v>
      </c>
      <c r="H13" s="2">
        <v>1533959</v>
      </c>
      <c r="I13" s="2">
        <v>11647370</v>
      </c>
      <c r="J13" s="2">
        <v>0.131700031852684</v>
      </c>
      <c r="K13" s="3" t="s">
        <v>105</v>
      </c>
      <c r="L13" s="3" t="s">
        <v>17</v>
      </c>
      <c r="M13" s="3">
        <v>1233150.5</v>
      </c>
      <c r="N13" s="3">
        <v>11647370</v>
      </c>
      <c r="O13" s="3">
        <v>0.105873729434198</v>
      </c>
    </row>
    <row r="14" spans="1:15">
      <c r="A14" s="1" t="s">
        <v>21</v>
      </c>
      <c r="B14" s="1" t="s">
        <v>22</v>
      </c>
      <c r="C14" s="1">
        <v>677697483.5</v>
      </c>
      <c r="D14" s="1">
        <v>16099010944</v>
      </c>
      <c r="E14" s="1">
        <v>4.2095597416347698E-2</v>
      </c>
      <c r="F14" s="2" t="s">
        <v>21</v>
      </c>
      <c r="G14" s="2" t="s">
        <v>22</v>
      </c>
      <c r="H14" s="2">
        <v>476553690.30000001</v>
      </c>
      <c r="I14" s="2">
        <v>11423352786</v>
      </c>
      <c r="J14" s="2">
        <v>4.1717497413197697E-2</v>
      </c>
      <c r="K14" s="3" t="s">
        <v>106</v>
      </c>
      <c r="L14" s="3" t="s">
        <v>22</v>
      </c>
      <c r="M14" s="3">
        <v>450109044.80000001</v>
      </c>
      <c r="N14" s="3">
        <v>10627485027</v>
      </c>
      <c r="O14" s="3">
        <v>4.2353298419754097E-2</v>
      </c>
    </row>
    <row r="15" spans="1:15">
      <c r="A15" s="1" t="s">
        <v>23</v>
      </c>
      <c r="B15" s="1" t="s">
        <v>24</v>
      </c>
      <c r="C15" s="1">
        <v>12409742.199999999</v>
      </c>
      <c r="D15" s="1">
        <v>258322343</v>
      </c>
      <c r="E15" s="1">
        <v>4.80397555081018E-2</v>
      </c>
      <c r="F15" s="2" t="s">
        <v>23</v>
      </c>
      <c r="G15" s="2" t="s">
        <v>24</v>
      </c>
      <c r="H15" s="2">
        <v>12537466</v>
      </c>
      <c r="I15" s="2">
        <v>258322343</v>
      </c>
      <c r="J15" s="2">
        <v>4.8534191252670701E-2</v>
      </c>
      <c r="K15" s="3" t="s">
        <v>107</v>
      </c>
      <c r="L15" s="3" t="s">
        <v>24</v>
      </c>
      <c r="M15" s="3">
        <v>10944406.699999999</v>
      </c>
      <c r="N15" s="3">
        <v>233406193</v>
      </c>
      <c r="O15" s="3">
        <v>4.6889958485377498E-2</v>
      </c>
    </row>
    <row r="16" spans="1:15">
      <c r="A16" s="1" t="s">
        <v>25</v>
      </c>
      <c r="B16" s="1" t="s">
        <v>26</v>
      </c>
      <c r="C16" s="1">
        <v>882659814.5</v>
      </c>
      <c r="D16" s="1">
        <v>16751706607</v>
      </c>
      <c r="E16" s="1">
        <v>5.2690739827735797E-2</v>
      </c>
      <c r="F16" s="2" t="s">
        <v>25</v>
      </c>
      <c r="G16" s="2" t="s">
        <v>26</v>
      </c>
      <c r="H16" s="2">
        <v>731109644.70000005</v>
      </c>
      <c r="I16" s="2">
        <v>16641965157</v>
      </c>
      <c r="J16" s="2">
        <v>4.39316894250604E-2</v>
      </c>
      <c r="K16" s="3" t="s">
        <v>25</v>
      </c>
      <c r="L16" s="3" t="s">
        <v>26</v>
      </c>
      <c r="M16" s="3">
        <v>678903291.70000005</v>
      </c>
      <c r="N16" s="3">
        <v>15028727770</v>
      </c>
      <c r="O16" s="3">
        <v>4.5173703462458803E-2</v>
      </c>
    </row>
    <row r="17" spans="1:21">
      <c r="A17" s="1" t="s">
        <v>108</v>
      </c>
      <c r="B17" s="1"/>
      <c r="C17" s="1">
        <v>4682733540.1000004</v>
      </c>
      <c r="D17" s="1"/>
      <c r="E17" s="1"/>
      <c r="F17" s="2" t="s">
        <v>108</v>
      </c>
      <c r="G17" s="2"/>
      <c r="H17" s="2">
        <v>4288773213.1999998</v>
      </c>
      <c r="I17" s="2"/>
      <c r="J17" s="2"/>
      <c r="K17" s="3" t="s">
        <v>108</v>
      </c>
      <c r="L17" s="3"/>
      <c r="M17" s="3">
        <v>4065491892.9000001</v>
      </c>
      <c r="N17" s="3"/>
      <c r="O17" s="3"/>
    </row>
    <row r="19" spans="1:21">
      <c r="A19" s="4" t="s">
        <v>0</v>
      </c>
      <c r="B19" s="1" t="s">
        <v>29</v>
      </c>
      <c r="C19" s="2" t="s">
        <v>64</v>
      </c>
      <c r="D19" s="3" t="s">
        <v>109</v>
      </c>
      <c r="F19" s="4" t="s">
        <v>1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35</v>
      </c>
      <c r="L19" s="4" t="s">
        <v>36</v>
      </c>
      <c r="M19" s="4" t="s">
        <v>37</v>
      </c>
      <c r="N19" s="4" t="s">
        <v>38</v>
      </c>
      <c r="O19" s="4" t="s">
        <v>39</v>
      </c>
      <c r="P19" s="4" t="s">
        <v>40</v>
      </c>
      <c r="Q19" s="4" t="s">
        <v>41</v>
      </c>
      <c r="R19" s="4" t="s">
        <v>42</v>
      </c>
      <c r="S19" s="4" t="s">
        <v>43</v>
      </c>
      <c r="T19" s="4" t="s">
        <v>44</v>
      </c>
      <c r="U19" s="4" t="s">
        <v>48</v>
      </c>
    </row>
    <row r="20" spans="1:21">
      <c r="A20" s="4" t="s">
        <v>31</v>
      </c>
      <c r="B20" s="5">
        <f t="array" ref="B20:B34">$E$2:$E$16</f>
        <v>0.97093273437361904</v>
      </c>
      <c r="C20" s="6">
        <f t="array" ref="C20:C34">$J$2:$J$16</f>
        <v>0.21171463905666699</v>
      </c>
      <c r="D20" s="7">
        <f t="array" ref="D20:D34">$O$2:$O$16</f>
        <v>0.18835534749632901</v>
      </c>
      <c r="F20" s="1" t="s">
        <v>29</v>
      </c>
      <c r="G20" s="8">
        <f t="array" ref="G20:T20">TRANSPOSE($C$2:$C$15/1000000)</f>
        <v>83.877804099999992</v>
      </c>
      <c r="H20" s="8">
        <v>11.348453900000001</v>
      </c>
      <c r="I20" s="8">
        <v>2.1513993</v>
      </c>
      <c r="J20" s="8">
        <v>0.62853580000000009</v>
      </c>
      <c r="K20" s="8">
        <v>0.39712159999999996</v>
      </c>
      <c r="L20" s="8">
        <v>0.29459990000000003</v>
      </c>
      <c r="M20" s="8">
        <v>29.692521299999999</v>
      </c>
      <c r="N20" s="8">
        <v>55.787864299999995</v>
      </c>
      <c r="O20" s="8">
        <v>5.8519392999999997</v>
      </c>
      <c r="P20" s="8">
        <v>0.60365409999999997</v>
      </c>
      <c r="Q20" s="8">
        <v>0.38701559999999996</v>
      </c>
      <c r="R20" s="8">
        <v>1.5316796000000001</v>
      </c>
      <c r="S20" s="8">
        <v>677.69748349999998</v>
      </c>
      <c r="T20" s="8">
        <v>12.409742199999998</v>
      </c>
      <c r="U20" s="15">
        <f>$O$25/1000000</f>
        <v>11.845945199999997</v>
      </c>
    </row>
    <row r="21" spans="1:21">
      <c r="A21" s="4" t="s">
        <v>32</v>
      </c>
      <c r="B21" s="5">
        <v>0.103410825171346</v>
      </c>
      <c r="C21" s="6">
        <v>3.6761982803619697E-2</v>
      </c>
      <c r="D21" s="7">
        <v>3.6655574067204003E-2</v>
      </c>
      <c r="F21" s="2" t="s">
        <v>64</v>
      </c>
      <c r="G21" s="9">
        <f t="array" ref="G21:T21">TRANSPOSE($H$2:$H$15/1000000)</f>
        <v>18.289793299999999</v>
      </c>
      <c r="H21" s="9">
        <v>171.8864648</v>
      </c>
      <c r="I21" s="9">
        <v>2.113057</v>
      </c>
      <c r="J21" s="9">
        <v>0.62514480000000006</v>
      </c>
      <c r="K21" s="9">
        <v>0.39949809999999997</v>
      </c>
      <c r="L21" s="9">
        <v>0.29984279999999996</v>
      </c>
      <c r="M21" s="9">
        <v>24.040370100000001</v>
      </c>
      <c r="N21" s="9">
        <v>12.2753877</v>
      </c>
      <c r="O21" s="9">
        <v>9.5651539999999997</v>
      </c>
      <c r="P21" s="9">
        <v>0.6045666999999999</v>
      </c>
      <c r="Q21" s="9">
        <v>0.38525009999999998</v>
      </c>
      <c r="R21" s="9">
        <v>1.5339590000000001</v>
      </c>
      <c r="S21" s="9">
        <v>476.55369030000003</v>
      </c>
      <c r="T21" s="9">
        <v>12.537466</v>
      </c>
      <c r="U21" s="15">
        <f>$P$25/1000000</f>
        <v>15.526472499999999</v>
      </c>
    </row>
    <row r="22" spans="1:21">
      <c r="A22" s="4" t="s">
        <v>33</v>
      </c>
      <c r="B22" s="5">
        <v>0.17601525836960399</v>
      </c>
      <c r="C22" s="6">
        <v>0.172878309389011</v>
      </c>
      <c r="D22" s="7">
        <v>0.17488944431717801</v>
      </c>
      <c r="F22" s="3" t="s">
        <v>109</v>
      </c>
      <c r="G22" s="10">
        <f t="array" ref="G22:T22">TRANSPOSE($M$2:$M$15/1000000)</f>
        <v>11.749947499999999</v>
      </c>
      <c r="H22" s="10">
        <v>142.65226849999999</v>
      </c>
      <c r="I22" s="10">
        <v>2.1376387000000001</v>
      </c>
      <c r="J22" s="10">
        <v>0.57568649999999999</v>
      </c>
      <c r="K22" s="10">
        <v>0.39437990000000001</v>
      </c>
      <c r="L22" s="10">
        <v>0.42729459999999997</v>
      </c>
      <c r="M22" s="10">
        <v>36.325279200000004</v>
      </c>
      <c r="N22" s="10">
        <v>12.052664800000001</v>
      </c>
      <c r="O22" s="10">
        <v>9.3567311999999987</v>
      </c>
      <c r="P22" s="10">
        <v>0.55327939999999998</v>
      </c>
      <c r="Q22" s="10">
        <v>0.39151940000000002</v>
      </c>
      <c r="R22" s="10">
        <v>1.2331505</v>
      </c>
      <c r="S22" s="10">
        <v>450.10904479999999</v>
      </c>
      <c r="T22" s="10">
        <v>10.9444067</v>
      </c>
      <c r="U22" s="15">
        <f>$Q$25/1000000</f>
        <v>15.069680199999999</v>
      </c>
    </row>
    <row r="23" spans="1:21">
      <c r="A23" s="4" t="s">
        <v>34</v>
      </c>
      <c r="B23" s="5">
        <v>5.1423225447524298E-2</v>
      </c>
      <c r="C23" s="6">
        <v>5.1145793107962197E-2</v>
      </c>
      <c r="D23" s="7">
        <v>4.7099396210361001E-2</v>
      </c>
    </row>
    <row r="24" spans="1:21">
      <c r="A24" s="4" t="s">
        <v>35</v>
      </c>
      <c r="B24" s="5">
        <v>3.2490231370880703E-2</v>
      </c>
      <c r="C24" s="6">
        <v>3.2684663088653997E-2</v>
      </c>
      <c r="D24" s="7">
        <v>3.2265921065549603E-2</v>
      </c>
      <c r="O24" s="4" t="s">
        <v>29</v>
      </c>
      <c r="P24" s="4" t="s">
        <v>64</v>
      </c>
      <c r="Q24" s="4" t="s">
        <v>109</v>
      </c>
      <c r="R24" s="4" t="s">
        <v>47</v>
      </c>
      <c r="S24" s="4" t="s">
        <v>29</v>
      </c>
      <c r="T24" s="4" t="s">
        <v>64</v>
      </c>
      <c r="U24" s="4" t="s">
        <v>109</v>
      </c>
    </row>
    <row r="25" spans="1:21">
      <c r="A25" s="4" t="s">
        <v>36</v>
      </c>
      <c r="B25" s="5">
        <v>2.4102488791438899E-2</v>
      </c>
      <c r="C25" s="6">
        <v>2.45314330595281E-2</v>
      </c>
      <c r="D25" s="7">
        <v>3.4958814674215397E-2</v>
      </c>
      <c r="O25" s="4">
        <f>SUM($C$4:$C$7,$C$10:$C$13)</f>
        <v>11845945.199999997</v>
      </c>
      <c r="P25" s="4">
        <f>SUM($H$4:$H$7,$H$10:$H$13)</f>
        <v>15526472.499999998</v>
      </c>
      <c r="Q25" s="4">
        <f>SUM($M$4:$M$7,$M$10:$M$13)</f>
        <v>15069680.199999999</v>
      </c>
      <c r="R25" s="4" t="s">
        <v>48</v>
      </c>
      <c r="S25" s="11">
        <v>1</v>
      </c>
      <c r="T25" s="11">
        <f>$P$25/$O$25</f>
        <v>1.3106993353303713</v>
      </c>
      <c r="U25" s="11">
        <f>$Q$25/$O$25</f>
        <v>1.27213826719374</v>
      </c>
    </row>
    <row r="26" spans="1:21">
      <c r="A26" s="4" t="s">
        <v>37</v>
      </c>
      <c r="B26" s="5">
        <v>0.67706326116118898</v>
      </c>
      <c r="C26" s="6">
        <v>0.54818017018406395</v>
      </c>
      <c r="D26" s="7">
        <v>0.64622274722166395</v>
      </c>
      <c r="O26" s="4">
        <f>SUM($C$2,$C$3,$C$8,$C$9)</f>
        <v>180706643.59999999</v>
      </c>
      <c r="P26" s="4">
        <f>SUM($H$2,$H$3,$H$8,$H$9)</f>
        <v>226492015.90000001</v>
      </c>
      <c r="Q26" s="4">
        <f>SUM($M$2,$M$3,$M$8,$M$9)</f>
        <v>202780160</v>
      </c>
      <c r="R26" s="4" t="s">
        <v>49</v>
      </c>
      <c r="S26" s="11">
        <v>1</v>
      </c>
      <c r="T26" s="11">
        <f>$P$26/$O$26</f>
        <v>1.2533685059269177</v>
      </c>
      <c r="U26" s="11">
        <f>$Q$26/$O$26</f>
        <v>1.1221511061256855</v>
      </c>
    </row>
    <row r="27" spans="1:21">
      <c r="A27" s="4" t="s">
        <v>38</v>
      </c>
      <c r="B27" s="5">
        <v>0.94704296454842596</v>
      </c>
      <c r="C27" s="6">
        <v>0.20838438080142299</v>
      </c>
      <c r="D27" s="7">
        <v>0.19418293401447201</v>
      </c>
      <c r="O27" s="4">
        <f>SUM($C$14,$C$15)</f>
        <v>690107225.70000005</v>
      </c>
      <c r="P27" s="4">
        <f>SUM($H$14,$H$15)</f>
        <v>489091156.30000001</v>
      </c>
      <c r="Q27" s="4">
        <f>SUM($M$14,$M$15)</f>
        <v>461053451.5</v>
      </c>
      <c r="R27" s="4" t="s">
        <v>50</v>
      </c>
      <c r="S27" s="11">
        <v>1</v>
      </c>
      <c r="T27" s="11">
        <f>$P$27/$O$27</f>
        <v>0.70871762834231689</v>
      </c>
      <c r="U27" s="11">
        <f>$Q$27/$O$27</f>
        <v>0.66808958713964672</v>
      </c>
    </row>
    <row r="28" spans="1:21">
      <c r="A28" s="4" t="s">
        <v>39</v>
      </c>
      <c r="B28" s="5">
        <v>0.50242580943165704</v>
      </c>
      <c r="C28" s="6">
        <v>0.82122865505260001</v>
      </c>
      <c r="D28" s="7">
        <v>0.80333424627190497</v>
      </c>
      <c r="O28" s="4">
        <f>$C$16</f>
        <v>882659814.5</v>
      </c>
      <c r="P28" s="4">
        <f>$H$16</f>
        <v>731109644.70000005</v>
      </c>
      <c r="Q28" s="4">
        <f>$M$16</f>
        <v>678903291.70000005</v>
      </c>
      <c r="R28" s="4" t="s">
        <v>51</v>
      </c>
      <c r="S28" s="11">
        <v>1</v>
      </c>
      <c r="T28" s="11">
        <f>$P$28/$O$28</f>
        <v>0.82830285540319004</v>
      </c>
      <c r="U28" s="11">
        <f>$Q$28/$O$28</f>
        <v>0.76915622592898736</v>
      </c>
    </row>
    <row r="29" spans="1:21">
      <c r="A29" s="4" t="s">
        <v>40</v>
      </c>
      <c r="B29" s="5">
        <v>5.1827502689448399E-2</v>
      </c>
      <c r="C29" s="6">
        <v>5.1905855141546997E-2</v>
      </c>
      <c r="D29" s="7">
        <v>4.75025177357635E-2</v>
      </c>
      <c r="O29" s="4">
        <f>$C$17</f>
        <v>4682733540.1000004</v>
      </c>
      <c r="P29" s="4">
        <f>$H$17</f>
        <v>4288773213.1999998</v>
      </c>
      <c r="Q29" s="4">
        <f>$M$17</f>
        <v>4065491892.9000001</v>
      </c>
      <c r="R29" s="4" t="s">
        <v>52</v>
      </c>
      <c r="S29" s="11">
        <v>1</v>
      </c>
      <c r="T29" s="11">
        <f>$P$29/$O$29</f>
        <v>0.91586958268576013</v>
      </c>
      <c r="U29" s="11">
        <f>$Q$29/$O$29</f>
        <v>0.86818774933181042</v>
      </c>
    </row>
    <row r="30" spans="1:21">
      <c r="A30" s="4" t="s">
        <v>41</v>
      </c>
      <c r="B30" s="5">
        <v>3.3227724370394299E-2</v>
      </c>
      <c r="C30" s="6">
        <v>3.3076145086830801E-2</v>
      </c>
      <c r="D30" s="7">
        <v>3.3614403938399803E-2</v>
      </c>
    </row>
    <row r="31" spans="1:21">
      <c r="A31" s="4" t="s">
        <v>42</v>
      </c>
      <c r="B31" s="5">
        <v>0.13150433102065101</v>
      </c>
      <c r="C31" s="6">
        <v>0.131700031852684</v>
      </c>
      <c r="D31" s="7">
        <v>0.105873729434198</v>
      </c>
    </row>
    <row r="32" spans="1:21">
      <c r="A32" s="4" t="s">
        <v>43</v>
      </c>
      <c r="B32" s="5">
        <v>4.2095597416347698E-2</v>
      </c>
      <c r="C32" s="6">
        <v>4.1717497413197697E-2</v>
      </c>
      <c r="D32" s="7">
        <v>4.2353298419754097E-2</v>
      </c>
    </row>
    <row r="33" spans="1:4">
      <c r="A33" s="4" t="s">
        <v>44</v>
      </c>
      <c r="B33" s="5">
        <v>4.80397555081018E-2</v>
      </c>
      <c r="C33" s="6">
        <v>4.8534191252670701E-2</v>
      </c>
      <c r="D33" s="7">
        <v>4.6889958485377498E-2</v>
      </c>
    </row>
    <row r="34" spans="1:4">
      <c r="A34" s="4" t="s">
        <v>25</v>
      </c>
      <c r="B34" s="5">
        <v>5.2690739827735797E-2</v>
      </c>
      <c r="C34" s="6">
        <v>4.39316894250604E-2</v>
      </c>
      <c r="D34" s="7">
        <v>4.5173703462458803E-2</v>
      </c>
    </row>
    <row r="35" spans="1:4">
      <c r="B35" s="5"/>
      <c r="C35" s="13"/>
      <c r="D35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L73"/>
  <sheetViews>
    <sheetView topLeftCell="G1" workbookViewId="0">
      <selection activeCell="V36" sqref="V36"/>
    </sheetView>
  </sheetViews>
  <sheetFormatPr defaultColWidth="12.5703125" defaultRowHeight="15.75" customHeight="1"/>
  <cols>
    <col min="1" max="1" width="29.85546875" customWidth="1"/>
    <col min="6" max="6" width="17" customWidth="1"/>
    <col min="7" max="7" width="14.85546875" customWidth="1"/>
    <col min="8" max="8" width="16.85546875" customWidth="1"/>
    <col min="9" max="9" width="15.28515625" customWidth="1"/>
    <col min="11" max="11" width="14.85546875" customWidth="1"/>
  </cols>
  <sheetData>
    <row r="2" spans="1:10">
      <c r="A2" s="4" t="s">
        <v>1</v>
      </c>
      <c r="B2" s="4" t="s">
        <v>59</v>
      </c>
      <c r="C2" s="4" t="s">
        <v>60</v>
      </c>
      <c r="D2" s="4" t="s">
        <v>61</v>
      </c>
      <c r="F2" s="4" t="s">
        <v>48</v>
      </c>
      <c r="G2" s="11" t="s">
        <v>29</v>
      </c>
      <c r="H2" s="4" t="s">
        <v>64</v>
      </c>
      <c r="I2" s="4" t="s">
        <v>109</v>
      </c>
    </row>
    <row r="3" spans="1:10">
      <c r="A3" s="4" t="s">
        <v>31</v>
      </c>
      <c r="B3" s="16"/>
      <c r="C3" s="16">
        <v>2</v>
      </c>
      <c r="D3" s="16"/>
      <c r="F3" s="4" t="s">
        <v>59</v>
      </c>
      <c r="G3" s="11">
        <v>1</v>
      </c>
      <c r="H3" s="11">
        <v>1.2181926266546954</v>
      </c>
      <c r="I3" s="11">
        <v>1.2080834265105946</v>
      </c>
      <c r="J3" s="11"/>
    </row>
    <row r="4" spans="1:10">
      <c r="A4" s="4" t="s">
        <v>29</v>
      </c>
      <c r="B4" s="16">
        <v>1.003507428</v>
      </c>
      <c r="C4" s="16">
        <v>0.96532662830000004</v>
      </c>
      <c r="D4" s="16">
        <v>0.97093273440000005</v>
      </c>
      <c r="F4" s="4" t="s">
        <v>60</v>
      </c>
      <c r="G4" s="11">
        <v>1</v>
      </c>
      <c r="H4" s="11">
        <v>1.3257915231799182</v>
      </c>
      <c r="I4" s="11">
        <v>1.294067800600373</v>
      </c>
      <c r="J4" s="11"/>
    </row>
    <row r="5" spans="1:10">
      <c r="A5" s="4" t="s">
        <v>64</v>
      </c>
      <c r="B5" s="16">
        <v>0.22765430292265301</v>
      </c>
      <c r="C5" s="16">
        <v>0.210241599603843</v>
      </c>
      <c r="D5" s="16">
        <v>0.21171463905666699</v>
      </c>
      <c r="F5" s="4" t="s">
        <v>61</v>
      </c>
      <c r="G5" s="11">
        <v>1</v>
      </c>
      <c r="H5" s="11">
        <v>1.3106993353303711</v>
      </c>
      <c r="I5" s="11">
        <v>1.2721382671937398</v>
      </c>
      <c r="J5" s="11"/>
    </row>
    <row r="6" spans="1:10">
      <c r="A6" s="4" t="s">
        <v>109</v>
      </c>
      <c r="B6" s="16">
        <v>0.197882462388938</v>
      </c>
      <c r="C6" s="16">
        <v>0.18188876219049599</v>
      </c>
      <c r="D6" s="16">
        <v>0.18835534749632901</v>
      </c>
      <c r="G6" s="11" t="s">
        <v>26</v>
      </c>
      <c r="H6" s="11" t="s">
        <v>26</v>
      </c>
      <c r="I6" s="11" t="s">
        <v>26</v>
      </c>
      <c r="J6" s="11"/>
    </row>
    <row r="7" spans="1:10">
      <c r="A7" s="4" t="s">
        <v>32</v>
      </c>
      <c r="B7" s="16" t="s">
        <v>26</v>
      </c>
      <c r="C7" s="16">
        <v>2</v>
      </c>
      <c r="D7" s="16" t="s">
        <v>26</v>
      </c>
      <c r="F7" s="4" t="s">
        <v>49</v>
      </c>
      <c r="G7" s="11" t="s">
        <v>29</v>
      </c>
      <c r="H7" s="11" t="s">
        <v>64</v>
      </c>
      <c r="I7" s="11" t="s">
        <v>109</v>
      </c>
      <c r="J7" s="17"/>
    </row>
    <row r="8" spans="1:10">
      <c r="A8" s="4" t="s">
        <v>29</v>
      </c>
      <c r="B8" s="16">
        <v>0.11322795714058601</v>
      </c>
      <c r="C8" s="16">
        <v>0.10395084274423</v>
      </c>
      <c r="D8" s="16">
        <v>0.103410825171346</v>
      </c>
      <c r="F8" s="4" t="s">
        <v>59</v>
      </c>
      <c r="G8" s="11">
        <v>1</v>
      </c>
      <c r="H8" s="11">
        <v>0.40333456232431247</v>
      </c>
      <c r="I8" s="11">
        <v>0.38433583246371844</v>
      </c>
      <c r="J8" s="11"/>
    </row>
    <row r="9" spans="1:10">
      <c r="A9" s="4" t="s">
        <v>64</v>
      </c>
      <c r="B9" s="16">
        <v>4.01752334865337E-2</v>
      </c>
      <c r="C9" s="16">
        <v>3.6828249737135603E-2</v>
      </c>
      <c r="D9" s="16">
        <v>3.6761982803619697E-2</v>
      </c>
      <c r="F9" s="4" t="s">
        <v>60</v>
      </c>
      <c r="G9" s="11">
        <v>1</v>
      </c>
      <c r="H9" s="11">
        <v>0.6458761256685992</v>
      </c>
      <c r="I9" s="11">
        <v>0.62938831373531701</v>
      </c>
      <c r="J9" s="11"/>
    </row>
    <row r="10" spans="1:10">
      <c r="A10" s="4" t="s">
        <v>109</v>
      </c>
      <c r="B10" s="16">
        <v>4.09994630344412E-2</v>
      </c>
      <c r="C10" s="16">
        <v>3.67178302969529E-2</v>
      </c>
      <c r="D10" s="16">
        <v>3.6655574067204003E-2</v>
      </c>
      <c r="F10" s="4" t="s">
        <v>61</v>
      </c>
      <c r="G10" s="11">
        <v>1</v>
      </c>
      <c r="H10" s="11">
        <v>1.2533685059269177</v>
      </c>
      <c r="I10" s="11">
        <v>1.1221511061256855</v>
      </c>
      <c r="J10" s="11"/>
    </row>
    <row r="11" spans="1:10">
      <c r="A11" s="4" t="s">
        <v>36</v>
      </c>
      <c r="B11" s="16" t="s">
        <v>26</v>
      </c>
      <c r="C11" s="16">
        <v>2</v>
      </c>
      <c r="D11" s="16" t="s">
        <v>26</v>
      </c>
      <c r="G11" s="11" t="s">
        <v>26</v>
      </c>
      <c r="H11" s="11" t="s">
        <v>26</v>
      </c>
      <c r="I11" s="11" t="s">
        <v>26</v>
      </c>
      <c r="J11" s="17"/>
    </row>
    <row r="12" spans="1:10">
      <c r="A12" s="4" t="s">
        <v>29</v>
      </c>
      <c r="B12" s="16">
        <v>2.7813827046427701E-2</v>
      </c>
      <c r="C12" s="16">
        <v>2.4351823027296798E-2</v>
      </c>
      <c r="D12" s="16">
        <v>2.4102488791438899E-2</v>
      </c>
      <c r="F12" s="4" t="s">
        <v>50</v>
      </c>
      <c r="G12" s="11" t="s">
        <v>29</v>
      </c>
      <c r="H12" s="11" t="s">
        <v>64</v>
      </c>
      <c r="I12" s="11" t="s">
        <v>109</v>
      </c>
      <c r="J12" s="11"/>
    </row>
    <row r="13" spans="1:10">
      <c r="A13" s="4" t="s">
        <v>64</v>
      </c>
      <c r="B13" s="16">
        <v>2.8288765302677599E-2</v>
      </c>
      <c r="C13" s="16">
        <v>2.4847641046191801E-2</v>
      </c>
      <c r="D13" s="16">
        <v>2.45314330595281E-2</v>
      </c>
      <c r="F13" s="4" t="s">
        <v>59</v>
      </c>
      <c r="G13" s="11">
        <v>1</v>
      </c>
      <c r="H13" s="11">
        <v>0.81121404124094898</v>
      </c>
      <c r="I13" s="11">
        <v>0.66499811794831043</v>
      </c>
      <c r="J13" s="11"/>
    </row>
    <row r="14" spans="1:10">
      <c r="A14" s="4" t="s">
        <v>109</v>
      </c>
      <c r="B14" s="16">
        <v>4.3793109575167501E-2</v>
      </c>
      <c r="C14" s="16">
        <v>3.5794799999312003E-2</v>
      </c>
      <c r="D14" s="16">
        <v>3.4958814674215397E-2</v>
      </c>
      <c r="F14" s="4" t="s">
        <v>60</v>
      </c>
      <c r="G14" s="11">
        <v>1</v>
      </c>
      <c r="H14" s="11">
        <v>0.76286425857644857</v>
      </c>
      <c r="I14" s="11">
        <v>0.66615624995592826</v>
      </c>
      <c r="J14" s="11"/>
    </row>
    <row r="15" spans="1:10">
      <c r="A15" s="4" t="s">
        <v>37</v>
      </c>
      <c r="B15" s="16" t="s">
        <v>26</v>
      </c>
      <c r="C15" s="16">
        <v>2</v>
      </c>
      <c r="D15" s="16" t="s">
        <v>26</v>
      </c>
      <c r="F15" s="4" t="s">
        <v>61</v>
      </c>
      <c r="G15" s="11">
        <v>1</v>
      </c>
      <c r="H15" s="11">
        <v>0.70871762834231689</v>
      </c>
      <c r="I15" s="11">
        <v>0.66808958713964672</v>
      </c>
      <c r="J15" s="17"/>
    </row>
    <row r="16" spans="1:10">
      <c r="A16" s="4" t="s">
        <v>29</v>
      </c>
      <c r="B16" s="16">
        <v>0.72986054205231199</v>
      </c>
      <c r="C16" s="16">
        <v>0.66796034525802295</v>
      </c>
      <c r="D16" s="16">
        <v>0.67706326116118898</v>
      </c>
      <c r="G16" s="11" t="s">
        <v>26</v>
      </c>
      <c r="H16" s="11" t="s">
        <v>26</v>
      </c>
      <c r="I16" s="11" t="s">
        <v>26</v>
      </c>
      <c r="J16" s="11"/>
    </row>
    <row r="17" spans="1:10">
      <c r="A17" s="4" t="s">
        <v>64</v>
      </c>
      <c r="B17" s="16">
        <v>0.59224601840213698</v>
      </c>
      <c r="C17" s="16">
        <v>0.54239074721459801</v>
      </c>
      <c r="D17" s="16">
        <v>0.54818017018406395</v>
      </c>
      <c r="F17" s="4" t="s">
        <v>51</v>
      </c>
      <c r="G17" s="11" t="s">
        <v>29</v>
      </c>
      <c r="H17" s="11" t="s">
        <v>64</v>
      </c>
      <c r="I17" s="11" t="s">
        <v>109</v>
      </c>
      <c r="J17" s="11"/>
    </row>
    <row r="18" spans="1:10">
      <c r="A18" s="4" t="s">
        <v>109</v>
      </c>
      <c r="B18" s="16">
        <v>0.67623132712461698</v>
      </c>
      <c r="C18" s="16">
        <v>0.61858776936847604</v>
      </c>
      <c r="D18" s="16">
        <v>0.64622274722166395</v>
      </c>
      <c r="F18" s="4" t="s">
        <v>59</v>
      </c>
      <c r="G18" s="11">
        <v>1</v>
      </c>
      <c r="H18" s="11">
        <v>0.59686206419245547</v>
      </c>
      <c r="I18" s="11">
        <v>0.52846823831279888</v>
      </c>
      <c r="J18" s="11"/>
    </row>
    <row r="19" spans="1:10">
      <c r="A19" s="4" t="s">
        <v>38</v>
      </c>
      <c r="B19" s="16" t="s">
        <v>26</v>
      </c>
      <c r="C19" s="16">
        <v>2</v>
      </c>
      <c r="D19" s="16" t="s">
        <v>26</v>
      </c>
      <c r="F19" s="4" t="s">
        <v>60</v>
      </c>
      <c r="G19" s="11">
        <v>1</v>
      </c>
      <c r="H19" s="11">
        <v>0.72665887552508424</v>
      </c>
      <c r="I19" s="11">
        <v>0.66057162739133057</v>
      </c>
      <c r="J19" s="17"/>
    </row>
    <row r="20" spans="1:10">
      <c r="A20" s="4" t="s">
        <v>29</v>
      </c>
      <c r="B20" s="16">
        <v>1.0697312346454599</v>
      </c>
      <c r="C20" s="16">
        <v>0.94989552160108803</v>
      </c>
      <c r="D20" s="16">
        <v>0.94704296454842596</v>
      </c>
      <c r="F20" s="4" t="s">
        <v>61</v>
      </c>
      <c r="G20" s="11">
        <v>1</v>
      </c>
      <c r="H20" s="11">
        <v>0.82830285540319004</v>
      </c>
      <c r="I20" s="11">
        <v>0.76915622592898736</v>
      </c>
      <c r="J20" s="11"/>
    </row>
    <row r="21" spans="1:10">
      <c r="A21" s="4" t="s">
        <v>64</v>
      </c>
      <c r="B21" s="16">
        <v>0.24099057517299799</v>
      </c>
      <c r="C21" s="16">
        <v>0.206812105039274</v>
      </c>
      <c r="D21" s="16">
        <v>0.20838438080142299</v>
      </c>
      <c r="G21" s="11" t="s">
        <v>26</v>
      </c>
      <c r="H21" s="11" t="s">
        <v>26</v>
      </c>
      <c r="I21" s="11" t="s">
        <v>26</v>
      </c>
      <c r="J21" s="11"/>
    </row>
    <row r="22" spans="1:10">
      <c r="A22" s="4" t="s">
        <v>109</v>
      </c>
      <c r="B22" s="16">
        <v>0.213466346373059</v>
      </c>
      <c r="C22" s="16">
        <v>0.192407770616741</v>
      </c>
      <c r="D22" s="16">
        <v>0.19418293401447201</v>
      </c>
      <c r="F22" s="4" t="s">
        <v>52</v>
      </c>
      <c r="G22" s="11" t="s">
        <v>29</v>
      </c>
      <c r="H22" s="11" t="s">
        <v>64</v>
      </c>
      <c r="I22" s="11" t="s">
        <v>109</v>
      </c>
      <c r="J22" s="11"/>
    </row>
    <row r="23" spans="1:10">
      <c r="A23" s="4" t="s">
        <v>42</v>
      </c>
      <c r="B23" s="16" t="s">
        <v>26</v>
      </c>
      <c r="C23" s="16">
        <v>2</v>
      </c>
      <c r="D23" s="16" t="s">
        <v>26</v>
      </c>
      <c r="F23" s="4" t="s">
        <v>59</v>
      </c>
      <c r="G23" s="11">
        <v>1</v>
      </c>
      <c r="H23" s="11">
        <v>0.98331676123412892</v>
      </c>
      <c r="I23" s="11">
        <v>0.9848094347579629</v>
      </c>
    </row>
    <row r="24" spans="1:10">
      <c r="A24" s="4" t="s">
        <v>29</v>
      </c>
      <c r="B24" s="16">
        <v>0.16151384670359101</v>
      </c>
      <c r="C24" s="16">
        <v>0.13196333059080201</v>
      </c>
      <c r="D24" s="16">
        <v>0.13150433102065101</v>
      </c>
      <c r="F24" s="4" t="s">
        <v>60</v>
      </c>
      <c r="G24" s="11">
        <v>1</v>
      </c>
      <c r="H24" s="11">
        <v>0.92480614108619419</v>
      </c>
      <c r="I24" s="11">
        <v>0.84161868941781681</v>
      </c>
    </row>
    <row r="25" spans="1:10">
      <c r="A25" s="4" t="s">
        <v>64</v>
      </c>
      <c r="B25" s="16">
        <v>0.16493693049848099</v>
      </c>
      <c r="C25" s="16">
        <v>0.13328072704765201</v>
      </c>
      <c r="D25" s="16">
        <v>0.131700031852684</v>
      </c>
      <c r="F25" s="4" t="s">
        <v>61</v>
      </c>
      <c r="G25" s="11">
        <v>1</v>
      </c>
      <c r="H25" s="11">
        <v>0.91586958268576013</v>
      </c>
      <c r="I25" s="11">
        <v>0.86818774933181042</v>
      </c>
    </row>
    <row r="26" spans="1:10">
      <c r="A26" s="4" t="s">
        <v>109</v>
      </c>
      <c r="B26" s="16">
        <v>0.16133375022333399</v>
      </c>
      <c r="C26" s="16">
        <v>0.11475129263819001</v>
      </c>
      <c r="D26" s="16">
        <v>0.105873729434198</v>
      </c>
      <c r="G26" s="4" t="s">
        <v>26</v>
      </c>
      <c r="H26" s="4" t="s">
        <v>26</v>
      </c>
      <c r="I26" s="4" t="s">
        <v>26</v>
      </c>
    </row>
    <row r="27" spans="1:10">
      <c r="A27" s="4" t="s">
        <v>43</v>
      </c>
      <c r="B27" s="16" t="s">
        <v>26</v>
      </c>
      <c r="C27" s="16">
        <v>2</v>
      </c>
      <c r="D27" s="16" t="s">
        <v>26</v>
      </c>
    </row>
    <row r="28" spans="1:10">
      <c r="A28" s="4" t="s">
        <v>29</v>
      </c>
      <c r="B28" s="16">
        <v>5.5145734095144998E-2</v>
      </c>
      <c r="C28" s="16">
        <v>4.5246853582141901E-2</v>
      </c>
      <c r="D28" s="16">
        <v>4.2095597416347698E-2</v>
      </c>
      <c r="F28" s="4" t="s">
        <v>110</v>
      </c>
    </row>
    <row r="29" spans="1:10">
      <c r="A29" s="4" t="s">
        <v>64</v>
      </c>
      <c r="B29" s="16">
        <v>5.5080596910249101E-2</v>
      </c>
      <c r="C29" s="16">
        <v>4.5149828993146103E-2</v>
      </c>
      <c r="D29" s="16">
        <v>4.1717497413197697E-2</v>
      </c>
      <c r="F29" s="4" t="s">
        <v>111</v>
      </c>
      <c r="G29" s="4" t="s">
        <v>112</v>
      </c>
      <c r="H29" s="4" t="s">
        <v>32</v>
      </c>
      <c r="I29" s="4" t="s">
        <v>37</v>
      </c>
      <c r="J29" s="4" t="s">
        <v>38</v>
      </c>
    </row>
    <row r="30" spans="1:10">
      <c r="A30" s="4" t="s">
        <v>109</v>
      </c>
      <c r="B30" s="16">
        <v>4.69811418706962E-2</v>
      </c>
      <c r="C30" s="16">
        <v>4.2431931048419802E-2</v>
      </c>
      <c r="D30" s="16">
        <v>4.2353298419754097E-2</v>
      </c>
      <c r="F30" s="4" t="s">
        <v>113</v>
      </c>
      <c r="G30" s="20">
        <v>4332776</v>
      </c>
      <c r="H30" s="20">
        <v>3836730</v>
      </c>
      <c r="I30" s="20">
        <v>1837830</v>
      </c>
      <c r="J30" s="20">
        <v>2034414</v>
      </c>
    </row>
    <row r="31" spans="1:10">
      <c r="A31" s="4" t="s">
        <v>44</v>
      </c>
      <c r="B31" s="16" t="s">
        <v>26</v>
      </c>
      <c r="C31" s="16">
        <v>2</v>
      </c>
      <c r="D31" s="16" t="s">
        <v>26</v>
      </c>
      <c r="F31" s="4" t="s">
        <v>114</v>
      </c>
      <c r="G31" s="20">
        <v>4332776</v>
      </c>
      <c r="H31" s="20">
        <v>19479496</v>
      </c>
      <c r="I31" s="20">
        <v>1837830</v>
      </c>
      <c r="J31" s="20">
        <v>2034414</v>
      </c>
    </row>
    <row r="32" spans="1:10">
      <c r="A32" s="4" t="s">
        <v>29</v>
      </c>
      <c r="B32" s="16">
        <v>5.3300771142006799E-2</v>
      </c>
      <c r="C32" s="16">
        <v>4.7469183436860102E-2</v>
      </c>
      <c r="D32" s="16">
        <v>4.80397555081018E-2</v>
      </c>
      <c r="F32" s="4" t="s">
        <v>115</v>
      </c>
      <c r="G32" s="20">
        <v>2977515</v>
      </c>
      <c r="H32" s="20">
        <v>16405149</v>
      </c>
      <c r="I32" s="20">
        <v>2193690</v>
      </c>
      <c r="J32" s="20">
        <v>2083505</v>
      </c>
    </row>
    <row r="33" spans="1:10">
      <c r="A33" s="4" t="s">
        <v>64</v>
      </c>
      <c r="B33" s="16">
        <v>5.3106627418746701E-2</v>
      </c>
      <c r="C33" s="16">
        <v>4.7592445024122798E-2</v>
      </c>
      <c r="D33" s="16">
        <v>4.8534191252670701E-2</v>
      </c>
      <c r="F33" s="4" t="s">
        <v>116</v>
      </c>
      <c r="G33" s="20">
        <v>78183158</v>
      </c>
      <c r="H33" s="20">
        <v>84091350</v>
      </c>
      <c r="I33" s="20">
        <v>54315320</v>
      </c>
      <c r="J33" s="20">
        <v>61182982</v>
      </c>
    </row>
    <row r="34" spans="1:10">
      <c r="A34" s="4" t="s">
        <v>109</v>
      </c>
      <c r="B34" s="16">
        <v>6.2332448962195801E-2</v>
      </c>
      <c r="C34" s="16">
        <v>4.8681752129577503E-2</v>
      </c>
      <c r="D34" s="16">
        <v>4.6889958485377498E-2</v>
      </c>
      <c r="F34" s="4" t="s">
        <v>117</v>
      </c>
      <c r="G34" s="20">
        <v>78183158</v>
      </c>
      <c r="H34" s="20">
        <v>1542568265</v>
      </c>
      <c r="I34" s="20">
        <v>54315320</v>
      </c>
      <c r="J34" s="20">
        <v>61182982</v>
      </c>
    </row>
    <row r="35" spans="1:10">
      <c r="B35" s="16" t="s">
        <v>26</v>
      </c>
      <c r="C35" s="16">
        <v>2</v>
      </c>
      <c r="D35" s="16" t="s">
        <v>26</v>
      </c>
      <c r="F35" s="4" t="s">
        <v>118</v>
      </c>
      <c r="G35" s="20">
        <v>59438621</v>
      </c>
      <c r="H35" s="20">
        <v>1326851508</v>
      </c>
      <c r="I35" s="20">
        <v>66976100</v>
      </c>
      <c r="J35" s="20">
        <v>59535609</v>
      </c>
    </row>
    <row r="36" spans="1:10">
      <c r="B36" s="16"/>
      <c r="C36" s="16"/>
      <c r="D36" s="16"/>
      <c r="F36" s="4" t="s">
        <v>119</v>
      </c>
      <c r="G36" s="20">
        <v>86388893</v>
      </c>
      <c r="H36" s="20">
        <v>109741450</v>
      </c>
      <c r="I36" s="20">
        <v>43854870</v>
      </c>
      <c r="J36" s="20">
        <v>58907427</v>
      </c>
    </row>
    <row r="37" spans="1:10">
      <c r="B37" s="16"/>
      <c r="C37" s="16"/>
      <c r="D37" s="16"/>
      <c r="F37" s="4" t="s">
        <v>120</v>
      </c>
      <c r="G37" s="20">
        <v>86388893</v>
      </c>
      <c r="H37" s="20">
        <v>4675658158</v>
      </c>
      <c r="I37" s="20">
        <v>43854870</v>
      </c>
      <c r="J37" s="20">
        <v>58907427</v>
      </c>
    </row>
    <row r="38" spans="1:10">
      <c r="B38" s="16"/>
      <c r="C38" s="16"/>
      <c r="D38" s="16"/>
      <c r="F38" s="4" t="s">
        <v>121</v>
      </c>
      <c r="G38" s="20">
        <v>62381810</v>
      </c>
      <c r="H38" s="20">
        <v>3891693750</v>
      </c>
      <c r="I38" s="20">
        <v>56211700</v>
      </c>
      <c r="J38" s="20">
        <v>62068610</v>
      </c>
    </row>
    <row r="39" spans="1:10">
      <c r="B39" s="16"/>
      <c r="C39" s="16"/>
      <c r="D39" s="16"/>
    </row>
    <row r="40" spans="1:10">
      <c r="B40" s="16"/>
      <c r="C40" s="16"/>
      <c r="D40" s="16"/>
    </row>
    <row r="41" spans="1:10">
      <c r="B41" s="16"/>
      <c r="C41" s="16"/>
      <c r="D41" s="16"/>
    </row>
    <row r="42" spans="1:10">
      <c r="B42" s="16"/>
      <c r="C42" s="16"/>
      <c r="D42" s="16"/>
    </row>
    <row r="43" spans="1:10">
      <c r="B43" s="16"/>
      <c r="C43" s="16"/>
      <c r="D43" s="16"/>
      <c r="F43" s="4" t="s">
        <v>122</v>
      </c>
    </row>
    <row r="44" spans="1:10">
      <c r="B44" s="16"/>
      <c r="C44" s="16"/>
      <c r="D44" s="16"/>
      <c r="F44" s="4" t="s">
        <v>111</v>
      </c>
      <c r="G44" s="4" t="s">
        <v>29</v>
      </c>
      <c r="H44" s="4" t="s">
        <v>64</v>
      </c>
      <c r="I44" s="4" t="s">
        <v>109</v>
      </c>
    </row>
    <row r="45" spans="1:10">
      <c r="B45" s="16"/>
      <c r="C45" s="16"/>
      <c r="D45" s="16"/>
      <c r="F45" s="4" t="s">
        <v>123</v>
      </c>
      <c r="G45" s="20">
        <v>95563430</v>
      </c>
      <c r="H45" s="20">
        <v>76083934</v>
      </c>
      <c r="I45" s="20">
        <v>74063815</v>
      </c>
    </row>
    <row r="46" spans="1:10">
      <c r="B46" s="16"/>
      <c r="C46" s="16"/>
      <c r="D46" s="16"/>
      <c r="F46" s="4" t="s">
        <v>124</v>
      </c>
      <c r="G46" s="20">
        <v>6405753752</v>
      </c>
      <c r="H46" s="20">
        <v>4863185487</v>
      </c>
      <c r="I46" s="20">
        <v>4538678984</v>
      </c>
    </row>
    <row r="47" spans="1:10">
      <c r="B47" s="16"/>
      <c r="C47" s="16"/>
      <c r="D47" s="16"/>
      <c r="F47" s="4" t="s">
        <v>125</v>
      </c>
      <c r="G47" s="20">
        <v>16099010944</v>
      </c>
      <c r="H47" s="20">
        <v>11423352786</v>
      </c>
      <c r="I47" s="20">
        <v>10627485027</v>
      </c>
    </row>
    <row r="48" spans="1:10">
      <c r="B48" s="16"/>
      <c r="C48" s="16"/>
      <c r="D48" s="16"/>
      <c r="F48" s="4" t="s">
        <v>126</v>
      </c>
      <c r="G48" s="20">
        <v>8540580</v>
      </c>
      <c r="H48" s="20">
        <v>8540580</v>
      </c>
      <c r="I48" s="20">
        <v>5255712</v>
      </c>
    </row>
    <row r="49" spans="1:12">
      <c r="B49" s="16"/>
      <c r="C49" s="16"/>
      <c r="D49" s="16"/>
      <c r="F49" s="4" t="s">
        <v>127</v>
      </c>
      <c r="G49" s="20">
        <v>135039637</v>
      </c>
      <c r="H49" s="20">
        <v>135039637</v>
      </c>
      <c r="I49" s="20">
        <v>97863310</v>
      </c>
    </row>
    <row r="50" spans="1:12">
      <c r="B50" s="16"/>
      <c r="C50" s="16"/>
      <c r="D50" s="16"/>
      <c r="F50" s="4" t="s">
        <v>128</v>
      </c>
      <c r="G50" s="20">
        <v>258322343</v>
      </c>
      <c r="H50" s="20">
        <v>258322343</v>
      </c>
      <c r="I50" s="20">
        <v>233406193</v>
      </c>
    </row>
    <row r="51" spans="1:12">
      <c r="B51" s="16"/>
      <c r="C51" s="16"/>
      <c r="D51" s="16"/>
    </row>
    <row r="52" spans="1:12">
      <c r="B52" s="16"/>
      <c r="C52" s="16"/>
      <c r="D52" s="16"/>
      <c r="F52" s="4"/>
      <c r="G52" s="4" t="s">
        <v>129</v>
      </c>
      <c r="H52" s="4" t="s">
        <v>130</v>
      </c>
    </row>
    <row r="53" spans="1:12">
      <c r="B53" s="16"/>
      <c r="C53" s="16"/>
      <c r="D53" s="16"/>
      <c r="F53" s="4" t="s">
        <v>59</v>
      </c>
      <c r="G53" s="20">
        <v>331434176</v>
      </c>
      <c r="H53" s="4">
        <f t="array" ref="H53:H55">G53:G55/SUM(G53:G55)</f>
        <v>4.8618932218200449E-3</v>
      </c>
    </row>
    <row r="54" spans="1:12">
      <c r="B54" s="16"/>
      <c r="C54" s="16"/>
      <c r="D54" s="16"/>
      <c r="F54" s="4" t="s">
        <v>60</v>
      </c>
      <c r="G54" s="20">
        <v>19702385180</v>
      </c>
      <c r="H54" s="4">
        <v>0.28901935858397931</v>
      </c>
    </row>
    <row r="55" spans="1:12">
      <c r="B55" s="16"/>
      <c r="C55" s="16"/>
      <c r="D55" s="16"/>
      <c r="F55" s="4" t="s">
        <v>131</v>
      </c>
      <c r="G55" s="20">
        <v>48135957494</v>
      </c>
      <c r="H55" s="4">
        <v>0.70611874819420062</v>
      </c>
    </row>
    <row r="56" spans="1:12">
      <c r="B56" s="16"/>
      <c r="C56" s="16"/>
      <c r="D56" s="16"/>
    </row>
    <row r="57" spans="1:12">
      <c r="B57" s="16"/>
      <c r="C57" s="16"/>
      <c r="D57" s="16"/>
      <c r="F57" s="4" t="s">
        <v>132</v>
      </c>
    </row>
    <row r="58" spans="1:12">
      <c r="B58" s="16"/>
      <c r="C58" s="16"/>
      <c r="D58" s="16"/>
      <c r="F58" s="4" t="s">
        <v>111</v>
      </c>
      <c r="G58" s="4" t="s">
        <v>112</v>
      </c>
      <c r="H58" s="4" t="s">
        <v>32</v>
      </c>
      <c r="I58" s="4" t="s">
        <v>37</v>
      </c>
      <c r="J58" s="4" t="s">
        <v>38</v>
      </c>
      <c r="K58" s="4" t="s">
        <v>43</v>
      </c>
      <c r="L58" s="4" t="s">
        <v>44</v>
      </c>
    </row>
    <row r="59" spans="1:12">
      <c r="B59" s="16"/>
      <c r="C59" s="16"/>
      <c r="D59" s="16"/>
      <c r="F59" s="4" t="s">
        <v>29</v>
      </c>
      <c r="G59" s="20">
        <f ca="1">IFERROR(__xludf.DUMMYFUNCTION("AVERAGE.WEIGHTED(
  {G30;G33;G36},
  $H$53:$H$55
)"),83618328.6545387)</f>
        <v>83618328.654538706</v>
      </c>
      <c r="H59" s="20">
        <f ca="1">IFERROR(__xludf.DUMMYFUNCTION("AVERAGE.WEIGHTED(
  {H30;H33;H36},
  $H$53:$H$55
)"),101813177.110058)</f>
        <v>101813177.11005799</v>
      </c>
      <c r="I59" s="20">
        <f ca="1">IFERROR(__xludf.DUMMYFUNCTION("AVERAGE.WEIGHTED(
  {I30;I33;I36},
  $H$53:$H$55
)"),46673860.1875228)</f>
        <v>46673860.187522799</v>
      </c>
      <c r="J59" s="20">
        <f ca="1">IFERROR(__xludf.DUMMYFUNCTION("AVERAGE.WEIGHTED(
  {J30;J33;J36},
  $H$53:$H$55
)"),59288595.9301133)</f>
        <v>59288595.930113301</v>
      </c>
      <c r="K59" s="20">
        <f ca="1">IFERROR(__xludf.DUMMYFUNCTION("AVERAGE.WEIGHTED(
  G45:G47,
  $H$53:$H$55
)"),13219664914.7845)</f>
        <v>13219664914.7845</v>
      </c>
      <c r="L59" s="20">
        <f ca="1">IFERROR(__xludf.DUMMYFUNCTION("AVERAGE.WEIGHTED(
  G48:G50,
  $H$53:$H$55
)"),221476842.126918)</f>
        <v>221476842.12691799</v>
      </c>
    </row>
    <row r="60" spans="1:12">
      <c r="F60" s="4" t="s">
        <v>64</v>
      </c>
      <c r="G60" s="20">
        <f ca="1">IFERROR(__xludf.DUMMYFUNCTION("AVERAGE.WEIGHTED(
  {G31;G34;G37},
  $H$53:$H$55
)"),83618328.6545387)</f>
        <v>83618328.654538706</v>
      </c>
      <c r="H60" s="20">
        <f ca="1">IFERROR(__xludf.DUMMYFUNCTION("AVERAGE.WEIGHTED(
  {H31;H34;H37},
  $H$53:$H$55
)"),3747496683.26283)</f>
        <v>3747496683.2628298</v>
      </c>
      <c r="I60" s="20">
        <f ca="1">IFERROR(__xludf.DUMMYFUNCTION("AVERAGE.WEIGHTED(
  {I31;I34;I37},
  $H$53:$H$55
)"),46673860.1875228)</f>
        <v>46673860.187522799</v>
      </c>
      <c r="J60" s="20">
        <f ca="1">IFERROR(__xludf.DUMMYFUNCTION("AVERAGE.WEIGHTED(
  {J31;J34;J37},
  $H$53:$H$55
)"),59288595.9301133)</f>
        <v>59288595.930113301</v>
      </c>
      <c r="K60" s="20">
        <f ca="1">IFERROR(__xludf.DUMMYFUNCTION("AVERAGE.WEIGHTED(
  H45:H47,
  $H$53:$H$55
)"),9472168231.52171)</f>
        <v>9472168231.5217094</v>
      </c>
      <c r="L60" s="20">
        <f ca="1">IFERROR(__xludf.DUMMYFUNCTION("AVERAGE.WEIGHTED(
  H48:H50,
  $H$53:$H$55
)"),221476842.126918)</f>
        <v>221476842.12691799</v>
      </c>
    </row>
    <row r="61" spans="1:12">
      <c r="F61" s="4" t="s">
        <v>109</v>
      </c>
      <c r="G61" s="20">
        <f ca="1">IFERROR(__xludf.DUMMYFUNCTION("AVERAGE.WEIGHTED(
  {G32;G35;G38},
  $H$53:$H$55
)"),61242354.063821)</f>
        <v>61242354.063821003</v>
      </c>
      <c r="H61" s="20">
        <f ca="1">IFERROR(__xludf.DUMMYFUNCTION("AVERAGE.WEIGHTED(
  {H32;H35;H38},
  $H$53:$H$55
)"),3131563450.96626)</f>
        <v>3131563450.96626</v>
      </c>
      <c r="I61" s="20">
        <f ca="1">IFERROR(__xludf.DUMMYFUNCTION("AVERAGE.WEIGHTED(
  {I32;I35;I38},
  $H$53:$H$55
)"),59060190.1868661)</f>
        <v>59060190.186866097</v>
      </c>
      <c r="J61" s="20">
        <f ca="1">IFERROR(__xludf.DUMMYFUNCTION("AVERAGE.WEIGHTED(
  {J32;J35;J38},
  $H$53:$H$55
)"),61044882.5002777)</f>
        <v>61044882.500277698</v>
      </c>
      <c r="K61" s="20">
        <f ca="1">IFERROR(__xludf.DUMMYFUNCTION("AVERAGE.WEIGHTED(
  I45:I47,
  $H$53:$H$55
)"),8816392602.85225)</f>
        <v>8816392602.8522491</v>
      </c>
      <c r="L61" s="20">
        <f ca="1">IFERROR(__xludf.DUMMYFUNCTION("AVERAGE.WEIGHTED(
  I48:I50,
  $H$53:$H$55
)"),193122432.617587)</f>
        <v>193122432.617587</v>
      </c>
    </row>
    <row r="63" spans="1:12">
      <c r="A63" s="4"/>
      <c r="B63" s="4"/>
      <c r="F63" s="4"/>
      <c r="G63" s="18"/>
    </row>
    <row r="64" spans="1:12">
      <c r="A64" s="18"/>
      <c r="B64" s="4"/>
    </row>
    <row r="65" spans="1:7">
      <c r="A65" s="18"/>
      <c r="B65" s="4"/>
    </row>
    <row r="66" spans="1:7">
      <c r="A66" s="18"/>
      <c r="B66" s="4"/>
    </row>
    <row r="67" spans="1:7">
      <c r="A67" s="18"/>
      <c r="B67" s="4"/>
    </row>
    <row r="69" spans="1:7">
      <c r="A69" s="18"/>
      <c r="B69" s="18"/>
      <c r="C69" s="18"/>
      <c r="D69" s="18"/>
      <c r="E69" s="18"/>
      <c r="F69" s="18"/>
      <c r="G69" s="18"/>
    </row>
    <row r="70" spans="1:7">
      <c r="A70" s="18"/>
      <c r="B70" s="18"/>
      <c r="C70" s="18"/>
    </row>
    <row r="73" spans="1:7">
      <c r="A73" s="18"/>
      <c r="B73" s="18"/>
      <c r="C73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2026-10-07T09:39:51Z</dcterms:created>
  <dcterms:modified xsi:type="dcterms:W3CDTF">2026-10-07T09:50:17Z</dcterms:modified>
  <cp:category/>
  <cp:contentStatus/>
</cp:coreProperties>
</file>